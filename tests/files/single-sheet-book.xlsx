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<sst xmlns="http://schemas.openxmlformats.org/spreadsheetml/2006/main" count="471" uniqueCount="202">
  <si>
    <t xml:space="preserve">ID</t>
  </si>
  <si>
    <t xml:space="preserve">Last Name</t>
  </si>
  <si>
    <t xml:space="preserve">First Name</t>
  </si>
  <si>
    <t xml:space="preserve">Department</t>
  </si>
  <si>
    <t xml:space="preserve">Job Title</t>
  </si>
  <si>
    <t xml:space="preserve">Start Date</t>
  </si>
  <si>
    <t xml:space="preserve">Salary</t>
  </si>
  <si>
    <t xml:space="preserve">Bonus</t>
  </si>
  <si>
    <t xml:space="preserve">Total Comp</t>
  </si>
  <si>
    <t xml:space="preserve">Years of Service</t>
  </si>
  <si>
    <t xml:space="preserve">Performance Score</t>
  </si>
  <si>
    <t xml:space="preserve">Manager</t>
  </si>
  <si>
    <t xml:space="preserve">Location</t>
  </si>
  <si>
    <t xml:space="preserve">FT/PT</t>
  </si>
  <si>
    <t xml:space="preserve">Status</t>
  </si>
  <si>
    <t xml:space="preserve">Anderson</t>
  </si>
  <si>
    <t xml:space="preserve">James</t>
  </si>
  <si>
    <t xml:space="preserve">Finance</t>
  </si>
  <si>
    <t xml:space="preserve">Analyst</t>
  </si>
  <si>
    <t xml:space="preserve">2018-03-12</t>
  </si>
  <si>
    <t xml:space="preserve">Williams</t>
  </si>
  <si>
    <t xml:space="preserve">Chicago</t>
  </si>
  <si>
    <t xml:space="preserve">FT</t>
  </si>
  <si>
    <t xml:space="preserve">Active</t>
  </si>
  <si>
    <t xml:space="preserve">Baker</t>
  </si>
  <si>
    <t xml:space="preserve">Patricia</t>
  </si>
  <si>
    <t xml:space="preserve">HR</t>
  </si>
  <si>
    <t xml:space="preserve">Coordinator</t>
  </si>
  <si>
    <t xml:space="preserve">2021-07-01</t>
  </si>
  <si>
    <t xml:space="preserve">Thompson</t>
  </si>
  <si>
    <t xml:space="preserve">New York</t>
  </si>
  <si>
    <t xml:space="preserve">Carter</t>
  </si>
  <si>
    <t xml:space="preserve">Robert</t>
  </si>
  <si>
    <t xml:space="preserve">IT</t>
  </si>
  <si>
    <t xml:space="preserve">Developer</t>
  </si>
  <si>
    <t xml:space="preserve">2019-11-05</t>
  </si>
  <si>
    <t xml:space="preserve">Harris</t>
  </si>
  <si>
    <t xml:space="preserve">Austin</t>
  </si>
  <si>
    <t xml:space="preserve">Davis</t>
  </si>
  <si>
    <t xml:space="preserve">Linda</t>
  </si>
  <si>
    <t xml:space="preserve">Marketing</t>
  </si>
  <si>
    <t xml:space="preserve">Specialist</t>
  </si>
  <si>
    <t xml:space="preserve">2020-02-18</t>
  </si>
  <si>
    <t xml:space="preserve">Martin</t>
  </si>
  <si>
    <t xml:space="preserve">Evans</t>
  </si>
  <si>
    <t xml:space="preserve">Michael</t>
  </si>
  <si>
    <t xml:space="preserve">Senior Analyst</t>
  </si>
  <si>
    <t xml:space="preserve">2015-08-22</t>
  </si>
  <si>
    <t xml:space="preserve">Foster</t>
  </si>
  <si>
    <t xml:space="preserve">Barbara</t>
  </si>
  <si>
    <t xml:space="preserve">Systems Admin</t>
  </si>
  <si>
    <t xml:space="preserve">2022-01-10</t>
  </si>
  <si>
    <t xml:space="preserve">Garcia</t>
  </si>
  <si>
    <t xml:space="preserve">William</t>
  </si>
  <si>
    <t xml:space="preserve">Sales</t>
  </si>
  <si>
    <t xml:space="preserve">Account Exec</t>
  </si>
  <si>
    <t xml:space="preserve">2017-05-30</t>
  </si>
  <si>
    <t xml:space="preserve">Clark</t>
  </si>
  <si>
    <t xml:space="preserve">Los Angeles</t>
  </si>
  <si>
    <t xml:space="preserve">Hall</t>
  </si>
  <si>
    <t xml:space="preserve">Elizabeth</t>
  </si>
  <si>
    <t xml:space="preserve">2013-09-14</t>
  </si>
  <si>
    <t xml:space="preserve">Ingram</t>
  </si>
  <si>
    <t xml:space="preserve">David</t>
  </si>
  <si>
    <t xml:space="preserve">2016-04-03</t>
  </si>
  <si>
    <t xml:space="preserve">Jones</t>
  </si>
  <si>
    <t xml:space="preserve">Susan</t>
  </si>
  <si>
    <t xml:space="preserve">2023-06-19</t>
  </si>
  <si>
    <t xml:space="preserve">King</t>
  </si>
  <si>
    <t xml:space="preserve">Joseph</t>
  </si>
  <si>
    <t xml:space="preserve">2020-10-27</t>
  </si>
  <si>
    <t xml:space="preserve">PT</t>
  </si>
  <si>
    <t xml:space="preserve">Lewis</t>
  </si>
  <si>
    <t xml:space="preserve">Sarah</t>
  </si>
  <si>
    <t xml:space="preserve">2018-12-01</t>
  </si>
  <si>
    <t xml:space="preserve">Moore</t>
  </si>
  <si>
    <t xml:space="preserve">Thomas</t>
  </si>
  <si>
    <t xml:space="preserve">Senior Developer</t>
  </si>
  <si>
    <t xml:space="preserve">2014-07-07</t>
  </si>
  <si>
    <t xml:space="preserve">Nelson</t>
  </si>
  <si>
    <t xml:space="preserve">Karen</t>
  </si>
  <si>
    <t xml:space="preserve">Operations</t>
  </si>
  <si>
    <t xml:space="preserve">2019-03-25</t>
  </si>
  <si>
    <t xml:space="preserve">White</t>
  </si>
  <si>
    <t xml:space="preserve">Owen</t>
  </si>
  <si>
    <t xml:space="preserve">Charles</t>
  </si>
  <si>
    <t xml:space="preserve">2021-11-08</t>
  </si>
  <si>
    <t xml:space="preserve">Parker</t>
  </si>
  <si>
    <t xml:space="preserve">Nancy</t>
  </si>
  <si>
    <t xml:space="preserve">2012-06-15</t>
  </si>
  <si>
    <t xml:space="preserve">Quinn</t>
  </si>
  <si>
    <t xml:space="preserve">Mark</t>
  </si>
  <si>
    <t xml:space="preserve">Director</t>
  </si>
  <si>
    <t xml:space="preserve">2010-02-28</t>
  </si>
  <si>
    <t xml:space="preserve">Reed</t>
  </si>
  <si>
    <t xml:space="preserve">Dorothy</t>
  </si>
  <si>
    <t xml:space="preserve">2022-08-14</t>
  </si>
  <si>
    <t xml:space="preserve">Scott</t>
  </si>
  <si>
    <t xml:space="preserve">Paul</t>
  </si>
  <si>
    <t xml:space="preserve">Architect</t>
  </si>
  <si>
    <t xml:space="preserve">2011-05-17</t>
  </si>
  <si>
    <t xml:space="preserve">Taylor</t>
  </si>
  <si>
    <t xml:space="preserve">Ruth</t>
  </si>
  <si>
    <t xml:space="preserve">2016-09-09</t>
  </si>
  <si>
    <t xml:space="preserve">Upton</t>
  </si>
  <si>
    <t xml:space="preserve">Steven</t>
  </si>
  <si>
    <t xml:space="preserve">2023-01-23</t>
  </si>
  <si>
    <t xml:space="preserve">Vargas</t>
  </si>
  <si>
    <t xml:space="preserve">Helen</t>
  </si>
  <si>
    <t xml:space="preserve">2009-11-11</t>
  </si>
  <si>
    <t xml:space="preserve">Walker</t>
  </si>
  <si>
    <t xml:space="preserve">Kevin</t>
  </si>
  <si>
    <t xml:space="preserve">2020-07-06</t>
  </si>
  <si>
    <t xml:space="preserve">Wright</t>
  </si>
  <si>
    <t xml:space="preserve">Angela</t>
  </si>
  <si>
    <t xml:space="preserve">2019-05-20</t>
  </si>
  <si>
    <t xml:space="preserve">Young</t>
  </si>
  <si>
    <t xml:space="preserve">Larry</t>
  </si>
  <si>
    <t xml:space="preserve">2021-04-12</t>
  </si>
  <si>
    <t xml:space="preserve">Allen</t>
  </si>
  <si>
    <t xml:space="preserve">Deborah</t>
  </si>
  <si>
    <t xml:space="preserve">2008-08-03</t>
  </si>
  <si>
    <t xml:space="preserve">Brown</t>
  </si>
  <si>
    <t xml:space="preserve">Ronald</t>
  </si>
  <si>
    <t xml:space="preserve">2022-10-31</t>
  </si>
  <si>
    <t xml:space="preserve">Collins</t>
  </si>
  <si>
    <t xml:space="preserve">Donna</t>
  </si>
  <si>
    <t xml:space="preserve">2015-03-16</t>
  </si>
  <si>
    <t xml:space="preserve">Dixon</t>
  </si>
  <si>
    <t xml:space="preserve">Kenneth</t>
  </si>
  <si>
    <t xml:space="preserve">2023-09-04</t>
  </si>
  <si>
    <t xml:space="preserve">Edwards</t>
  </si>
  <si>
    <t xml:space="preserve">Carol</t>
  </si>
  <si>
    <t xml:space="preserve">2017-01-23</t>
  </si>
  <si>
    <t xml:space="preserve">Fleming</t>
  </si>
  <si>
    <t xml:space="preserve">George</t>
  </si>
  <si>
    <t xml:space="preserve">2018-06-11</t>
  </si>
  <si>
    <t xml:space="preserve">Grant</t>
  </si>
  <si>
    <t xml:space="preserve">2020-12-07</t>
  </si>
  <si>
    <t xml:space="preserve">Inactive</t>
  </si>
  <si>
    <t xml:space="preserve">Hunt</t>
  </si>
  <si>
    <t xml:space="preserve">Harold</t>
  </si>
  <si>
    <t xml:space="preserve">QA Engineer</t>
  </si>
  <si>
    <t xml:space="preserve">2016-08-29</t>
  </si>
  <si>
    <t xml:space="preserve">Irwin</t>
  </si>
  <si>
    <t xml:space="preserve">Janet</t>
  </si>
  <si>
    <t xml:space="preserve">2022-03-15</t>
  </si>
  <si>
    <t xml:space="preserve">Jackson</t>
  </si>
  <si>
    <t xml:space="preserve">Ralph</t>
  </si>
  <si>
    <t xml:space="preserve">2013-10-22</t>
  </si>
  <si>
    <t xml:space="preserve">Knox</t>
  </si>
  <si>
    <t xml:space="preserve">Virginia</t>
  </si>
  <si>
    <t xml:space="preserve">Senior Exec</t>
  </si>
  <si>
    <t xml:space="preserve">2011-07-18</t>
  </si>
  <si>
    <t xml:space="preserve">Long</t>
  </si>
  <si>
    <t xml:space="preserve">Roy</t>
  </si>
  <si>
    <t xml:space="preserve">2007-04-05</t>
  </si>
  <si>
    <t xml:space="preserve">Mason</t>
  </si>
  <si>
    <t xml:space="preserve">Mildred</t>
  </si>
  <si>
    <t xml:space="preserve">2021-02-22</t>
  </si>
  <si>
    <t xml:space="preserve">Nash</t>
  </si>
  <si>
    <t xml:space="preserve">Philip</t>
  </si>
  <si>
    <t xml:space="preserve">Controller</t>
  </si>
  <si>
    <t xml:space="preserve">2014-11-30</t>
  </si>
  <si>
    <t xml:space="preserve">Olsen</t>
  </si>
  <si>
    <t xml:space="preserve">Lillian</t>
  </si>
  <si>
    <t xml:space="preserve">2019-08-16</t>
  </si>
  <si>
    <t xml:space="preserve">Price</t>
  </si>
  <si>
    <t xml:space="preserve">Raymond</t>
  </si>
  <si>
    <t xml:space="preserve">2023-04-03</t>
  </si>
  <si>
    <t xml:space="preserve">Ruiz</t>
  </si>
  <si>
    <t xml:space="preserve">Phyllis</t>
  </si>
  <si>
    <t xml:space="preserve">2018-09-25</t>
  </si>
  <si>
    <t xml:space="preserve">Simon</t>
  </si>
  <si>
    <t xml:space="preserve">Walter</t>
  </si>
  <si>
    <t xml:space="preserve">2012-01-09</t>
  </si>
  <si>
    <t xml:space="preserve">Turner</t>
  </si>
  <si>
    <t xml:space="preserve">Evelyn</t>
  </si>
  <si>
    <t xml:space="preserve">2020-05-14</t>
  </si>
  <si>
    <t xml:space="preserve">Underwood</t>
  </si>
  <si>
    <t xml:space="preserve">Wayne</t>
  </si>
  <si>
    <t xml:space="preserve">2022-07-28</t>
  </si>
  <si>
    <t xml:space="preserve">Vance</t>
  </si>
  <si>
    <t xml:space="preserve">Theresa</t>
  </si>
  <si>
    <t xml:space="preserve">2010-03-17</t>
  </si>
  <si>
    <t xml:space="preserve">Webb</t>
  </si>
  <si>
    <t xml:space="preserve">Arthur</t>
  </si>
  <si>
    <t xml:space="preserve">2006-12-04</t>
  </si>
  <si>
    <t xml:space="preserve">Xavier</t>
  </si>
  <si>
    <t xml:space="preserve">Doris</t>
  </si>
  <si>
    <t xml:space="preserve">2013-06-21</t>
  </si>
  <si>
    <t xml:space="preserve">York</t>
  </si>
  <si>
    <t xml:space="preserve">Roger</t>
  </si>
  <si>
    <t xml:space="preserve">2017-10-08</t>
  </si>
  <si>
    <t xml:space="preserve">Zimmerman</t>
  </si>
  <si>
    <t xml:space="preserve">Gloria</t>
  </si>
  <si>
    <t xml:space="preserve">2021-09-13</t>
  </si>
  <si>
    <t xml:space="preserve">Total Employees</t>
  </si>
  <si>
    <t xml:space="preserve">Avg Salary</t>
  </si>
  <si>
    <t xml:space="preserve">Avg Bonus</t>
  </si>
  <si>
    <t xml:space="preserve">Total Payroll</t>
  </si>
  <si>
    <t xml:space="preserve">Avg Performance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</si>
</sst>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$#,##0"/>
    <numFmt numFmtId="167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13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9" min="9" style="1" width="13"/>
    <col collapsed="false" customWidth="true" hidden="false" outlineLevel="0" max="10" min="10" style="1" width="17"/>
    <col collapsed="false" customWidth="true" hidden="false" outlineLevel="0" max="11" min="11" style="1" width="18"/>
    <col collapsed="false" customWidth="true" hidden="false" outlineLevel="0" max="12" min="12" style="1" width="13"/>
    <col collapsed="false" customWidth="true" hidden="false" outlineLevel="0" max="13" min="13" style="1" width="14"/>
    <col collapsed="false" customWidth="true" hidden="false" outlineLevel="0" max="14" min="14" style="1" width="8"/>
    <col collapsed="false" customWidth="true" hidden="false" outlineLevel="0" max="15" min="15" style="1" width="9"/>
  </cols>
  <sheetData>
    <row r="1" customFormat="false" ht="1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5" hidden="false" customHeight="true" outlineLevel="0" collapsed="false">
      <c r="A2" s="3" t="n">
        <v>1</v>
      </c>
      <c r="B2" s="4" t="s">
        <v>15</v>
      </c>
      <c r="C2" s="4" t="s">
        <v>16</v>
      </c>
      <c r="D2" s="4" t="s">
        <v>17</v>
      </c>
      <c r="E2" s="4" t="s">
        <v>18</v>
      </c>
      <c r="F2" s="5" t="s">
        <v>19</v>
      </c>
      <c r="G2" s="6" t="n">
        <v>62000</v>
      </c>
      <c r="H2" s="6" t="n">
        <v>3100</v>
      </c>
      <c r="I2" s="6" t="n">
        <f aca="false">G2+H2</f>
        <v>65100</v>
      </c>
      <c r="J2" s="3" t="n">
        <f aca="true">DATEDIF(F2,TODAY(),"Y")</f>
        <v>8</v>
      </c>
      <c r="K2" s="3" t="n">
        <v>3.8</v>
      </c>
      <c r="L2" s="4" t="s">
        <v>20</v>
      </c>
      <c r="M2" s="4" t="s">
        <v>21</v>
      </c>
      <c r="N2" s="3" t="s">
        <v>22</v>
      </c>
      <c r="O2" s="3" t="s">
        <v>23</v>
      </c>
    </row>
    <row r="3" customFormat="false" ht="15" hidden="false" customHeight="true" outlineLevel="0" collapsed="false">
      <c r="A3" s="7" t="n">
        <v>2</v>
      </c>
      <c r="B3" s="8" t="s">
        <v>24</v>
      </c>
      <c r="C3" s="8" t="s">
        <v>25</v>
      </c>
      <c r="D3" s="8" t="s">
        <v>26</v>
      </c>
      <c r="E3" s="8" t="s">
        <v>27</v>
      </c>
      <c r="F3" s="9" t="s">
        <v>28</v>
      </c>
      <c r="G3" s="10" t="n">
        <v>48000</v>
      </c>
      <c r="H3" s="10" t="n">
        <v>1920</v>
      </c>
      <c r="I3" s="10" t="n">
        <f aca="false">G3+H3</f>
        <v>49920</v>
      </c>
      <c r="J3" s="7" t="n">
        <f aca="true">DATEDIF(F3,TODAY(),"Y")</f>
        <v>4</v>
      </c>
      <c r="K3" s="7" t="n">
        <v>4.1</v>
      </c>
      <c r="L3" s="8" t="s">
        <v>29</v>
      </c>
      <c r="M3" s="8" t="s">
        <v>30</v>
      </c>
      <c r="N3" s="7" t="s">
        <v>22</v>
      </c>
      <c r="O3" s="7" t="s">
        <v>23</v>
      </c>
    </row>
    <row r="4" customFormat="false" ht="15" hidden="false" customHeight="true" outlineLevel="0" collapsed="false">
      <c r="A4" s="3" t="n">
        <v>3</v>
      </c>
      <c r="B4" s="4" t="s">
        <v>31</v>
      </c>
      <c r="C4" s="4" t="s">
        <v>32</v>
      </c>
      <c r="D4" s="4" t="s">
        <v>33</v>
      </c>
      <c r="E4" s="4" t="s">
        <v>34</v>
      </c>
      <c r="F4" s="5" t="s">
        <v>35</v>
      </c>
      <c r="G4" s="6" t="n">
        <v>87000</v>
      </c>
      <c r="H4" s="6" t="n">
        <v>6090</v>
      </c>
      <c r="I4" s="6" t="n">
        <f aca="false">G4+H4</f>
        <v>93090</v>
      </c>
      <c r="J4" s="3" t="n">
        <f aca="true">DATEDIF(F4,TODAY(),"Y")</f>
        <v>6</v>
      </c>
      <c r="K4" s="3" t="n">
        <v>4.5</v>
      </c>
      <c r="L4" s="4" t="s">
        <v>36</v>
      </c>
      <c r="M4" s="4" t="s">
        <v>37</v>
      </c>
      <c r="N4" s="3" t="s">
        <v>22</v>
      </c>
      <c r="O4" s="3" t="s">
        <v>23</v>
      </c>
    </row>
    <row r="5" customFormat="false" ht="15" hidden="false" customHeight="true" outlineLevel="0" collapsed="false">
      <c r="A5" s="7" t="n">
        <v>4</v>
      </c>
      <c r="B5" s="8" t="s">
        <v>38</v>
      </c>
      <c r="C5" s="8" t="s">
        <v>39</v>
      </c>
      <c r="D5" s="8" t="s">
        <v>40</v>
      </c>
      <c r="E5" s="8" t="s">
        <v>41</v>
      </c>
      <c r="F5" s="9" t="s">
        <v>42</v>
      </c>
      <c r="G5" s="10" t="n">
        <v>55000</v>
      </c>
      <c r="H5" s="10" t="n">
        <v>2750</v>
      </c>
      <c r="I5" s="10" t="n">
        <f aca="false">G5+H5</f>
        <v>57750</v>
      </c>
      <c r="J5" s="7" t="n">
        <f aca="true">DATEDIF(F5,TODAY(),"Y")</f>
        <v>6</v>
      </c>
      <c r="K5" s="7" t="n">
        <v>3.2</v>
      </c>
      <c r="L5" s="8" t="s">
        <v>43</v>
      </c>
      <c r="M5" s="8" t="s">
        <v>21</v>
      </c>
      <c r="N5" s="7" t="s">
        <v>22</v>
      </c>
      <c r="O5" s="7" t="s">
        <v>23</v>
      </c>
    </row>
    <row r="6" customFormat="false" ht="15" hidden="false" customHeight="true" outlineLevel="0" collapsed="false">
      <c r="A6" s="3" t="n">
        <v>5</v>
      </c>
      <c r="B6" s="4" t="s">
        <v>44</v>
      </c>
      <c r="C6" s="4" t="s">
        <v>45</v>
      </c>
      <c r="D6" s="4" t="s">
        <v>17</v>
      </c>
      <c r="E6" s="4" t="s">
        <v>46</v>
      </c>
      <c r="F6" s="5" t="s">
        <v>47</v>
      </c>
      <c r="G6" s="6" t="n">
        <v>78000</v>
      </c>
      <c r="H6" s="6" t="n">
        <v>5460</v>
      </c>
      <c r="I6" s="6" t="n">
        <f aca="false">G6+H6</f>
        <v>83460</v>
      </c>
      <c r="J6" s="3" t="n">
        <f aca="true">DATEDIF(F6,TODAY(),"Y")</f>
        <v>10</v>
      </c>
      <c r="K6" s="3" t="n">
        <v>4.7</v>
      </c>
      <c r="L6" s="4" t="s">
        <v>20</v>
      </c>
      <c r="M6" s="4" t="s">
        <v>30</v>
      </c>
      <c r="N6" s="3" t="s">
        <v>22</v>
      </c>
      <c r="O6" s="3" t="s">
        <v>23</v>
      </c>
    </row>
    <row r="7" customFormat="false" ht="15" hidden="false" customHeight="true" outlineLevel="0" collapsed="false">
      <c r="A7" s="7" t="n">
        <v>6</v>
      </c>
      <c r="B7" s="8" t="s">
        <v>48</v>
      </c>
      <c r="C7" s="8" t="s">
        <v>49</v>
      </c>
      <c r="D7" s="8" t="s">
        <v>33</v>
      </c>
      <c r="E7" s="8" t="s">
        <v>50</v>
      </c>
      <c r="F7" s="9" t="s">
        <v>51</v>
      </c>
      <c r="G7" s="10" t="n">
        <v>72000</v>
      </c>
      <c r="H7" s="10" t="n">
        <v>3600</v>
      </c>
      <c r="I7" s="10" t="n">
        <f aca="false">G7+H7</f>
        <v>75600</v>
      </c>
      <c r="J7" s="7" t="n">
        <f aca="true">DATEDIF(F7,TODAY(),"Y")</f>
        <v>4</v>
      </c>
      <c r="K7" s="7" t="n">
        <v>3.9</v>
      </c>
      <c r="L7" s="8" t="s">
        <v>36</v>
      </c>
      <c r="M7" s="8" t="s">
        <v>37</v>
      </c>
      <c r="N7" s="7" t="s">
        <v>22</v>
      </c>
      <c r="O7" s="7" t="s">
        <v>23</v>
      </c>
    </row>
    <row r="8" customFormat="false" ht="15" hidden="false" customHeight="true" outlineLevel="0" collapsed="false">
      <c r="A8" s="3" t="n">
        <v>7</v>
      </c>
      <c r="B8" s="4" t="s">
        <v>52</v>
      </c>
      <c r="C8" s="4" t="s">
        <v>53</v>
      </c>
      <c r="D8" s="4" t="s">
        <v>54</v>
      </c>
      <c r="E8" s="4" t="s">
        <v>55</v>
      </c>
      <c r="F8" s="5" t="s">
        <v>56</v>
      </c>
      <c r="G8" s="6" t="n">
        <v>64000</v>
      </c>
      <c r="H8" s="6" t="n">
        <v>9600</v>
      </c>
      <c r="I8" s="6" t="n">
        <f aca="false">G8+H8</f>
        <v>73600</v>
      </c>
      <c r="J8" s="3" t="n">
        <f aca="true">DATEDIF(F8,TODAY(),"Y")</f>
        <v>9</v>
      </c>
      <c r="K8" s="3" t="n">
        <v>4.2</v>
      </c>
      <c r="L8" s="4" t="s">
        <v>57</v>
      </c>
      <c r="M8" s="4" t="s">
        <v>58</v>
      </c>
      <c r="N8" s="3" t="s">
        <v>22</v>
      </c>
      <c r="O8" s="3" t="s">
        <v>23</v>
      </c>
    </row>
    <row r="9" customFormat="false" ht="15" hidden="false" customHeight="true" outlineLevel="0" collapsed="false">
      <c r="A9" s="7" t="n">
        <v>8</v>
      </c>
      <c r="B9" s="8" t="s">
        <v>59</v>
      </c>
      <c r="C9" s="8" t="s">
        <v>60</v>
      </c>
      <c r="D9" s="8" t="s">
        <v>26</v>
      </c>
      <c r="E9" s="8" t="s">
        <v>11</v>
      </c>
      <c r="F9" s="9" t="s">
        <v>61</v>
      </c>
      <c r="G9" s="10" t="n">
        <v>91000</v>
      </c>
      <c r="H9" s="10" t="n">
        <v>7280</v>
      </c>
      <c r="I9" s="10" t="n">
        <f aca="false">G9+H9</f>
        <v>98280</v>
      </c>
      <c r="J9" s="7" t="n">
        <f aca="true">DATEDIF(F9,TODAY(),"Y")</f>
        <v>12</v>
      </c>
      <c r="K9" s="7" t="n">
        <v>4.6</v>
      </c>
      <c r="L9" s="8" t="s">
        <v>29</v>
      </c>
      <c r="M9" s="8" t="s">
        <v>30</v>
      </c>
      <c r="N9" s="7" t="s">
        <v>22</v>
      </c>
      <c r="O9" s="7" t="s">
        <v>23</v>
      </c>
    </row>
    <row r="10" customFormat="false" ht="15" hidden="false" customHeight="true" outlineLevel="0" collapsed="false">
      <c r="A10" s="3" t="n">
        <v>9</v>
      </c>
      <c r="B10" s="4" t="s">
        <v>62</v>
      </c>
      <c r="C10" s="4" t="s">
        <v>63</v>
      </c>
      <c r="D10" s="4" t="s">
        <v>40</v>
      </c>
      <c r="E10" s="4" t="s">
        <v>11</v>
      </c>
      <c r="F10" s="5" t="s">
        <v>64</v>
      </c>
      <c r="G10" s="6" t="n">
        <v>88000</v>
      </c>
      <c r="H10" s="6" t="n">
        <v>6160</v>
      </c>
      <c r="I10" s="6" t="n">
        <f aca="false">G10+H10</f>
        <v>94160</v>
      </c>
      <c r="J10" s="3" t="n">
        <f aca="true">DATEDIF(F10,TODAY(),"Y")</f>
        <v>10</v>
      </c>
      <c r="K10" s="3" t="n">
        <v>4</v>
      </c>
      <c r="L10" s="4" t="s">
        <v>43</v>
      </c>
      <c r="M10" s="4" t="s">
        <v>21</v>
      </c>
      <c r="N10" s="3" t="s">
        <v>22</v>
      </c>
      <c r="O10" s="3" t="s">
        <v>23</v>
      </c>
    </row>
    <row r="11" customFormat="false" ht="15" hidden="false" customHeight="true" outlineLevel="0" collapsed="false">
      <c r="A11" s="7" t="n">
        <v>10</v>
      </c>
      <c r="B11" s="8" t="s">
        <v>65</v>
      </c>
      <c r="C11" s="8" t="s">
        <v>66</v>
      </c>
      <c r="D11" s="8" t="s">
        <v>33</v>
      </c>
      <c r="E11" s="8" t="s">
        <v>34</v>
      </c>
      <c r="F11" s="9" t="s">
        <v>67</v>
      </c>
      <c r="G11" s="10" t="n">
        <v>83000</v>
      </c>
      <c r="H11" s="10" t="n">
        <v>4150</v>
      </c>
      <c r="I11" s="10" t="n">
        <f aca="false">G11+H11</f>
        <v>87150</v>
      </c>
      <c r="J11" s="7" t="n">
        <f aca="true">DATEDIF(F11,TODAY(),"Y")</f>
        <v>2</v>
      </c>
      <c r="K11" s="7" t="n">
        <v>3.7</v>
      </c>
      <c r="L11" s="8" t="s">
        <v>36</v>
      </c>
      <c r="M11" s="8" t="s">
        <v>37</v>
      </c>
      <c r="N11" s="7" t="s">
        <v>22</v>
      </c>
      <c r="O11" s="7" t="s">
        <v>23</v>
      </c>
    </row>
    <row r="12" customFormat="false" ht="15" hidden="false" customHeight="true" outlineLevel="0" collapsed="false">
      <c r="A12" s="3" t="n">
        <v>11</v>
      </c>
      <c r="B12" s="4" t="s">
        <v>68</v>
      </c>
      <c r="C12" s="4" t="s">
        <v>69</v>
      </c>
      <c r="D12" s="4" t="s">
        <v>17</v>
      </c>
      <c r="E12" s="4" t="s">
        <v>18</v>
      </c>
      <c r="F12" s="5" t="s">
        <v>70</v>
      </c>
      <c r="G12" s="6" t="n">
        <v>61000</v>
      </c>
      <c r="H12" s="6" t="n">
        <v>3050</v>
      </c>
      <c r="I12" s="6" t="n">
        <f aca="false">G12+H12</f>
        <v>64050</v>
      </c>
      <c r="J12" s="3" t="n">
        <f aca="true">DATEDIF(F12,TODAY(),"Y")</f>
        <v>5</v>
      </c>
      <c r="K12" s="3" t="n">
        <v>3.5</v>
      </c>
      <c r="L12" s="4" t="s">
        <v>20</v>
      </c>
      <c r="M12" s="4" t="s">
        <v>21</v>
      </c>
      <c r="N12" s="3" t="s">
        <v>71</v>
      </c>
      <c r="O12" s="3" t="s">
        <v>23</v>
      </c>
    </row>
    <row r="13" customFormat="false" ht="15" hidden="false" customHeight="true" outlineLevel="0" collapsed="false">
      <c r="A13" s="7" t="n">
        <v>12</v>
      </c>
      <c r="B13" s="8" t="s">
        <v>72</v>
      </c>
      <c r="C13" s="8" t="s">
        <v>73</v>
      </c>
      <c r="D13" s="8" t="s">
        <v>54</v>
      </c>
      <c r="E13" s="8" t="s">
        <v>55</v>
      </c>
      <c r="F13" s="9" t="s">
        <v>74</v>
      </c>
      <c r="G13" s="10" t="n">
        <v>67000</v>
      </c>
      <c r="H13" s="10" t="n">
        <v>10050</v>
      </c>
      <c r="I13" s="10" t="n">
        <f aca="false">G13+H13</f>
        <v>77050</v>
      </c>
      <c r="J13" s="7" t="n">
        <f aca="true">DATEDIF(F13,TODAY(),"Y")</f>
        <v>7</v>
      </c>
      <c r="K13" s="7" t="n">
        <v>4.8</v>
      </c>
      <c r="L13" s="8" t="s">
        <v>57</v>
      </c>
      <c r="M13" s="8" t="s">
        <v>58</v>
      </c>
      <c r="N13" s="7" t="s">
        <v>22</v>
      </c>
      <c r="O13" s="7" t="s">
        <v>23</v>
      </c>
    </row>
    <row r="14" customFormat="false" ht="15" hidden="false" customHeight="true" outlineLevel="0" collapsed="false">
      <c r="A14" s="3" t="n">
        <v>13</v>
      </c>
      <c r="B14" s="4" t="s">
        <v>75</v>
      </c>
      <c r="C14" s="4" t="s">
        <v>76</v>
      </c>
      <c r="D14" s="4" t="s">
        <v>33</v>
      </c>
      <c r="E14" s="4" t="s">
        <v>77</v>
      </c>
      <c r="F14" s="5" t="s">
        <v>78</v>
      </c>
      <c r="G14" s="6" t="n">
        <v>102000</v>
      </c>
      <c r="H14" s="6" t="n">
        <v>8160</v>
      </c>
      <c r="I14" s="6" t="n">
        <f aca="false">G14+H14</f>
        <v>110160</v>
      </c>
      <c r="J14" s="3" t="n">
        <f aca="true">DATEDIF(F14,TODAY(),"Y")</f>
        <v>11</v>
      </c>
      <c r="K14" s="3" t="n">
        <v>4.9</v>
      </c>
      <c r="L14" s="4" t="s">
        <v>36</v>
      </c>
      <c r="M14" s="4" t="s">
        <v>37</v>
      </c>
      <c r="N14" s="3" t="s">
        <v>22</v>
      </c>
      <c r="O14" s="3" t="s">
        <v>23</v>
      </c>
    </row>
    <row r="15" customFormat="false" ht="15" hidden="false" customHeight="true" outlineLevel="0" collapsed="false">
      <c r="A15" s="7" t="n">
        <v>14</v>
      </c>
      <c r="B15" s="8" t="s">
        <v>79</v>
      </c>
      <c r="C15" s="8" t="s">
        <v>80</v>
      </c>
      <c r="D15" s="8" t="s">
        <v>81</v>
      </c>
      <c r="E15" s="8" t="s">
        <v>27</v>
      </c>
      <c r="F15" s="9" t="s">
        <v>82</v>
      </c>
      <c r="G15" s="10" t="n">
        <v>51000</v>
      </c>
      <c r="H15" s="10" t="n">
        <v>2040</v>
      </c>
      <c r="I15" s="10" t="n">
        <f aca="false">G15+H15</f>
        <v>53040</v>
      </c>
      <c r="J15" s="7" t="n">
        <f aca="true">DATEDIF(F15,TODAY(),"Y")</f>
        <v>7</v>
      </c>
      <c r="K15" s="7" t="n">
        <v>3.6</v>
      </c>
      <c r="L15" s="8" t="s">
        <v>83</v>
      </c>
      <c r="M15" s="8" t="s">
        <v>30</v>
      </c>
      <c r="N15" s="7" t="s">
        <v>22</v>
      </c>
      <c r="O15" s="7" t="s">
        <v>23</v>
      </c>
    </row>
    <row r="16" customFormat="false" ht="15" hidden="false" customHeight="true" outlineLevel="0" collapsed="false">
      <c r="A16" s="3" t="n">
        <v>15</v>
      </c>
      <c r="B16" s="4" t="s">
        <v>84</v>
      </c>
      <c r="C16" s="4" t="s">
        <v>85</v>
      </c>
      <c r="D16" s="4" t="s">
        <v>40</v>
      </c>
      <c r="E16" s="4" t="s">
        <v>41</v>
      </c>
      <c r="F16" s="5" t="s">
        <v>86</v>
      </c>
      <c r="G16" s="6" t="n">
        <v>54000</v>
      </c>
      <c r="H16" s="6" t="n">
        <v>2160</v>
      </c>
      <c r="I16" s="6" t="n">
        <f aca="false">G16+H16</f>
        <v>56160</v>
      </c>
      <c r="J16" s="3" t="n">
        <f aca="true">DATEDIF(F16,TODAY(),"Y")</f>
        <v>4</v>
      </c>
      <c r="K16" s="3" t="n">
        <v>3.3</v>
      </c>
      <c r="L16" s="4" t="s">
        <v>43</v>
      </c>
      <c r="M16" s="4" t="s">
        <v>58</v>
      </c>
      <c r="N16" s="3" t="s">
        <v>71</v>
      </c>
      <c r="O16" s="3" t="s">
        <v>23</v>
      </c>
    </row>
    <row r="17" customFormat="false" ht="15" hidden="false" customHeight="true" outlineLevel="0" collapsed="false">
      <c r="A17" s="7" t="n">
        <v>16</v>
      </c>
      <c r="B17" s="8" t="s">
        <v>87</v>
      </c>
      <c r="C17" s="8" t="s">
        <v>88</v>
      </c>
      <c r="D17" s="8" t="s">
        <v>17</v>
      </c>
      <c r="E17" s="8" t="s">
        <v>11</v>
      </c>
      <c r="F17" s="9" t="s">
        <v>89</v>
      </c>
      <c r="G17" s="10" t="n">
        <v>115000</v>
      </c>
      <c r="H17" s="10" t="n">
        <v>11500</v>
      </c>
      <c r="I17" s="10" t="n">
        <f aca="false">G17+H17</f>
        <v>126500</v>
      </c>
      <c r="J17" s="7" t="n">
        <f aca="true">DATEDIF(F17,TODAY(),"Y")</f>
        <v>13</v>
      </c>
      <c r="K17" s="7" t="n">
        <v>4.7</v>
      </c>
      <c r="L17" s="8" t="s">
        <v>20</v>
      </c>
      <c r="M17" s="8" t="s">
        <v>30</v>
      </c>
      <c r="N17" s="7" t="s">
        <v>22</v>
      </c>
      <c r="O17" s="7" t="s">
        <v>23</v>
      </c>
    </row>
    <row r="18" customFormat="false" ht="15" hidden="false" customHeight="true" outlineLevel="0" collapsed="false">
      <c r="A18" s="3" t="n">
        <v>17</v>
      </c>
      <c r="B18" s="4" t="s">
        <v>90</v>
      </c>
      <c r="C18" s="4" t="s">
        <v>91</v>
      </c>
      <c r="D18" s="4" t="s">
        <v>54</v>
      </c>
      <c r="E18" s="4" t="s">
        <v>92</v>
      </c>
      <c r="F18" s="5" t="s">
        <v>93</v>
      </c>
      <c r="G18" s="6" t="n">
        <v>145000</v>
      </c>
      <c r="H18" s="6" t="n">
        <v>21750</v>
      </c>
      <c r="I18" s="6" t="n">
        <f aca="false">G18+H18</f>
        <v>166750</v>
      </c>
      <c r="J18" s="3" t="n">
        <f aca="true">DATEDIF(F18,TODAY(),"Y")</f>
        <v>16</v>
      </c>
      <c r="K18" s="3" t="n">
        <v>4.6</v>
      </c>
      <c r="L18" s="4" t="s">
        <v>57</v>
      </c>
      <c r="M18" s="4" t="s">
        <v>58</v>
      </c>
      <c r="N18" s="3" t="s">
        <v>22</v>
      </c>
      <c r="O18" s="3" t="s">
        <v>23</v>
      </c>
    </row>
    <row r="19" customFormat="false" ht="15" hidden="false" customHeight="true" outlineLevel="0" collapsed="false">
      <c r="A19" s="7" t="n">
        <v>18</v>
      </c>
      <c r="B19" s="8" t="s">
        <v>94</v>
      </c>
      <c r="C19" s="8" t="s">
        <v>95</v>
      </c>
      <c r="D19" s="8" t="s">
        <v>26</v>
      </c>
      <c r="E19" s="8" t="s">
        <v>41</v>
      </c>
      <c r="F19" s="9" t="s">
        <v>96</v>
      </c>
      <c r="G19" s="10" t="n">
        <v>46000</v>
      </c>
      <c r="H19" s="10" t="n">
        <v>1840</v>
      </c>
      <c r="I19" s="10" t="n">
        <f aca="false">G19+H19</f>
        <v>47840</v>
      </c>
      <c r="J19" s="7" t="n">
        <f aca="true">DATEDIF(F19,TODAY(),"Y")</f>
        <v>3</v>
      </c>
      <c r="K19" s="7" t="n">
        <v>3.8</v>
      </c>
      <c r="L19" s="8" t="s">
        <v>29</v>
      </c>
      <c r="M19" s="8" t="s">
        <v>21</v>
      </c>
      <c r="N19" s="7" t="s">
        <v>22</v>
      </c>
      <c r="O19" s="7" t="s">
        <v>23</v>
      </c>
    </row>
    <row r="20" customFormat="false" ht="15" hidden="false" customHeight="true" outlineLevel="0" collapsed="false">
      <c r="A20" s="3" t="n">
        <v>19</v>
      </c>
      <c r="B20" s="4" t="s">
        <v>97</v>
      </c>
      <c r="C20" s="4" t="s">
        <v>98</v>
      </c>
      <c r="D20" s="4" t="s">
        <v>33</v>
      </c>
      <c r="E20" s="4" t="s">
        <v>99</v>
      </c>
      <c r="F20" s="5" t="s">
        <v>100</v>
      </c>
      <c r="G20" s="6" t="n">
        <v>128000</v>
      </c>
      <c r="H20" s="6" t="n">
        <v>12800</v>
      </c>
      <c r="I20" s="6" t="n">
        <f aca="false">G20+H20</f>
        <v>140800</v>
      </c>
      <c r="J20" s="3" t="n">
        <f aca="true">DATEDIF(F20,TODAY(),"Y")</f>
        <v>15</v>
      </c>
      <c r="K20" s="3" t="n">
        <v>4.8</v>
      </c>
      <c r="L20" s="4" t="s">
        <v>36</v>
      </c>
      <c r="M20" s="4" t="s">
        <v>37</v>
      </c>
      <c r="N20" s="3" t="s">
        <v>22</v>
      </c>
      <c r="O20" s="3" t="s">
        <v>23</v>
      </c>
    </row>
    <row r="21" customFormat="false" ht="15" hidden="false" customHeight="true" outlineLevel="0" collapsed="false">
      <c r="A21" s="7" t="n">
        <v>20</v>
      </c>
      <c r="B21" s="8" t="s">
        <v>101</v>
      </c>
      <c r="C21" s="8" t="s">
        <v>102</v>
      </c>
      <c r="D21" s="8" t="s">
        <v>81</v>
      </c>
      <c r="E21" s="8" t="s">
        <v>11</v>
      </c>
      <c r="F21" s="9" t="s">
        <v>103</v>
      </c>
      <c r="G21" s="10" t="n">
        <v>94000</v>
      </c>
      <c r="H21" s="10" t="n">
        <v>7520</v>
      </c>
      <c r="I21" s="10" t="n">
        <f aca="false">G21+H21</f>
        <v>101520</v>
      </c>
      <c r="J21" s="7" t="n">
        <f aca="true">DATEDIF(F21,TODAY(),"Y")</f>
        <v>9</v>
      </c>
      <c r="K21" s="7" t="n">
        <v>4.4</v>
      </c>
      <c r="L21" s="8" t="s">
        <v>83</v>
      </c>
      <c r="M21" s="8" t="s">
        <v>30</v>
      </c>
      <c r="N21" s="7" t="s">
        <v>22</v>
      </c>
      <c r="O21" s="7" t="s">
        <v>23</v>
      </c>
    </row>
    <row r="22" customFormat="false" ht="15" hidden="false" customHeight="true" outlineLevel="0" collapsed="false">
      <c r="A22" s="3" t="n">
        <v>21</v>
      </c>
      <c r="B22" s="4" t="s">
        <v>104</v>
      </c>
      <c r="C22" s="4" t="s">
        <v>105</v>
      </c>
      <c r="D22" s="4" t="s">
        <v>17</v>
      </c>
      <c r="E22" s="4" t="s">
        <v>18</v>
      </c>
      <c r="F22" s="5" t="s">
        <v>106</v>
      </c>
      <c r="G22" s="6" t="n">
        <v>59000</v>
      </c>
      <c r="H22" s="6" t="n">
        <v>2950</v>
      </c>
      <c r="I22" s="6" t="n">
        <f aca="false">G22+H22</f>
        <v>61950</v>
      </c>
      <c r="J22" s="3" t="n">
        <f aca="true">DATEDIF(F22,TODAY(),"Y")</f>
        <v>3</v>
      </c>
      <c r="K22" s="3" t="n">
        <v>3.1</v>
      </c>
      <c r="L22" s="4" t="s">
        <v>20</v>
      </c>
      <c r="M22" s="4" t="s">
        <v>21</v>
      </c>
      <c r="N22" s="3" t="s">
        <v>22</v>
      </c>
      <c r="O22" s="3" t="s">
        <v>23</v>
      </c>
    </row>
    <row r="23" customFormat="false" ht="15" hidden="false" customHeight="true" outlineLevel="0" collapsed="false">
      <c r="A23" s="7" t="n">
        <v>22</v>
      </c>
      <c r="B23" s="8" t="s">
        <v>107</v>
      </c>
      <c r="C23" s="8" t="s">
        <v>108</v>
      </c>
      <c r="D23" s="8" t="s">
        <v>40</v>
      </c>
      <c r="E23" s="8" t="s">
        <v>92</v>
      </c>
      <c r="F23" s="9" t="s">
        <v>109</v>
      </c>
      <c r="G23" s="10" t="n">
        <v>138000</v>
      </c>
      <c r="H23" s="10" t="n">
        <v>13800</v>
      </c>
      <c r="I23" s="10" t="n">
        <f aca="false">G23+H23</f>
        <v>151800</v>
      </c>
      <c r="J23" s="7" t="n">
        <f aca="true">DATEDIF(F23,TODAY(),"Y")</f>
        <v>16</v>
      </c>
      <c r="K23" s="7" t="n">
        <v>4.5</v>
      </c>
      <c r="L23" s="8" t="s">
        <v>43</v>
      </c>
      <c r="M23" s="8" t="s">
        <v>58</v>
      </c>
      <c r="N23" s="7" t="s">
        <v>22</v>
      </c>
      <c r="O23" s="7" t="s">
        <v>23</v>
      </c>
    </row>
    <row r="24" customFormat="false" ht="15" hidden="false" customHeight="true" outlineLevel="0" collapsed="false">
      <c r="A24" s="3" t="n">
        <v>23</v>
      </c>
      <c r="B24" s="4" t="s">
        <v>110</v>
      </c>
      <c r="C24" s="4" t="s">
        <v>111</v>
      </c>
      <c r="D24" s="4" t="s">
        <v>33</v>
      </c>
      <c r="E24" s="4" t="s">
        <v>34</v>
      </c>
      <c r="F24" s="5" t="s">
        <v>112</v>
      </c>
      <c r="G24" s="6" t="n">
        <v>85000</v>
      </c>
      <c r="H24" s="6" t="n">
        <v>4250</v>
      </c>
      <c r="I24" s="6" t="n">
        <f aca="false">G24+H24</f>
        <v>89250</v>
      </c>
      <c r="J24" s="3" t="n">
        <f aca="true">DATEDIF(F24,TODAY(),"Y")</f>
        <v>5</v>
      </c>
      <c r="K24" s="3" t="n">
        <v>4</v>
      </c>
      <c r="L24" s="4" t="s">
        <v>36</v>
      </c>
      <c r="M24" s="4" t="s">
        <v>37</v>
      </c>
      <c r="N24" s="3" t="s">
        <v>22</v>
      </c>
      <c r="O24" s="3" t="s">
        <v>23</v>
      </c>
    </row>
    <row r="25" customFormat="false" ht="15" hidden="false" customHeight="true" outlineLevel="0" collapsed="false">
      <c r="A25" s="7" t="n">
        <v>24</v>
      </c>
      <c r="B25" s="8" t="s">
        <v>113</v>
      </c>
      <c r="C25" s="8" t="s">
        <v>114</v>
      </c>
      <c r="D25" s="8" t="s">
        <v>54</v>
      </c>
      <c r="E25" s="8" t="s">
        <v>55</v>
      </c>
      <c r="F25" s="9" t="s">
        <v>115</v>
      </c>
      <c r="G25" s="10" t="n">
        <v>66000</v>
      </c>
      <c r="H25" s="10" t="n">
        <v>9900</v>
      </c>
      <c r="I25" s="10" t="n">
        <f aca="false">G25+H25</f>
        <v>75900</v>
      </c>
      <c r="J25" s="7" t="n">
        <f aca="true">DATEDIF(F25,TODAY(),"Y")</f>
        <v>7</v>
      </c>
      <c r="K25" s="7" t="n">
        <v>4.3</v>
      </c>
      <c r="L25" s="8" t="s">
        <v>57</v>
      </c>
      <c r="M25" s="8" t="s">
        <v>30</v>
      </c>
      <c r="N25" s="7" t="s">
        <v>22</v>
      </c>
      <c r="O25" s="7" t="s">
        <v>23</v>
      </c>
    </row>
    <row r="26" customFormat="false" ht="15" hidden="false" customHeight="true" outlineLevel="0" collapsed="false">
      <c r="A26" s="3" t="n">
        <v>25</v>
      </c>
      <c r="B26" s="4" t="s">
        <v>116</v>
      </c>
      <c r="C26" s="4" t="s">
        <v>117</v>
      </c>
      <c r="D26" s="4" t="s">
        <v>81</v>
      </c>
      <c r="E26" s="4" t="s">
        <v>18</v>
      </c>
      <c r="F26" s="5" t="s">
        <v>118</v>
      </c>
      <c r="G26" s="6" t="n">
        <v>52000</v>
      </c>
      <c r="H26" s="6" t="n">
        <v>2080</v>
      </c>
      <c r="I26" s="6" t="n">
        <f aca="false">G26+H26</f>
        <v>54080</v>
      </c>
      <c r="J26" s="3" t="n">
        <f aca="true">DATEDIF(F26,TODAY(),"Y")</f>
        <v>5</v>
      </c>
      <c r="K26" s="3" t="n">
        <v>3.4</v>
      </c>
      <c r="L26" s="4" t="s">
        <v>83</v>
      </c>
      <c r="M26" s="4" t="s">
        <v>21</v>
      </c>
      <c r="N26" s="3" t="s">
        <v>71</v>
      </c>
      <c r="O26" s="3" t="s">
        <v>23</v>
      </c>
    </row>
    <row r="27" customFormat="false" ht="15" hidden="false" customHeight="true" outlineLevel="0" collapsed="false">
      <c r="A27" s="7" t="n">
        <v>26</v>
      </c>
      <c r="B27" s="8" t="s">
        <v>119</v>
      </c>
      <c r="C27" s="8" t="s">
        <v>120</v>
      </c>
      <c r="D27" s="8" t="s">
        <v>26</v>
      </c>
      <c r="E27" s="8" t="s">
        <v>92</v>
      </c>
      <c r="F27" s="9" t="s">
        <v>121</v>
      </c>
      <c r="G27" s="10" t="n">
        <v>122000</v>
      </c>
      <c r="H27" s="10" t="n">
        <v>12200</v>
      </c>
      <c r="I27" s="10" t="n">
        <f aca="false">G27+H27</f>
        <v>134200</v>
      </c>
      <c r="J27" s="7" t="n">
        <f aca="true">DATEDIF(F27,TODAY(),"Y")</f>
        <v>17</v>
      </c>
      <c r="K27" s="7" t="n">
        <v>4.7</v>
      </c>
      <c r="L27" s="8" t="s">
        <v>29</v>
      </c>
      <c r="M27" s="8" t="s">
        <v>30</v>
      </c>
      <c r="N27" s="7" t="s">
        <v>22</v>
      </c>
      <c r="O27" s="7" t="s">
        <v>23</v>
      </c>
    </row>
    <row r="28" customFormat="false" ht="15" hidden="false" customHeight="true" outlineLevel="0" collapsed="false">
      <c r="A28" s="3" t="n">
        <v>27</v>
      </c>
      <c r="B28" s="4" t="s">
        <v>122</v>
      </c>
      <c r="C28" s="4" t="s">
        <v>123</v>
      </c>
      <c r="D28" s="4" t="s">
        <v>33</v>
      </c>
      <c r="E28" s="4" t="s">
        <v>34</v>
      </c>
      <c r="F28" s="5" t="s">
        <v>124</v>
      </c>
      <c r="G28" s="6" t="n">
        <v>81000</v>
      </c>
      <c r="H28" s="6" t="n">
        <v>4050</v>
      </c>
      <c r="I28" s="6" t="n">
        <f aca="false">G28+H28</f>
        <v>85050</v>
      </c>
      <c r="J28" s="3" t="n">
        <f aca="true">DATEDIF(F28,TODAY(),"Y")</f>
        <v>3</v>
      </c>
      <c r="K28" s="3" t="n">
        <v>3.9</v>
      </c>
      <c r="L28" s="4" t="s">
        <v>36</v>
      </c>
      <c r="M28" s="4" t="s">
        <v>37</v>
      </c>
      <c r="N28" s="3" t="s">
        <v>22</v>
      </c>
      <c r="O28" s="3" t="s">
        <v>23</v>
      </c>
    </row>
    <row r="29" customFormat="false" ht="15" hidden="false" customHeight="true" outlineLevel="0" collapsed="false">
      <c r="A29" s="7" t="n">
        <v>28</v>
      </c>
      <c r="B29" s="8" t="s">
        <v>125</v>
      </c>
      <c r="C29" s="8" t="s">
        <v>126</v>
      </c>
      <c r="D29" s="8" t="s">
        <v>17</v>
      </c>
      <c r="E29" s="8" t="s">
        <v>46</v>
      </c>
      <c r="F29" s="9" t="s">
        <v>127</v>
      </c>
      <c r="G29" s="10" t="n">
        <v>82000</v>
      </c>
      <c r="H29" s="10" t="n">
        <v>5740</v>
      </c>
      <c r="I29" s="10" t="n">
        <f aca="false">G29+H29</f>
        <v>87740</v>
      </c>
      <c r="J29" s="7" t="n">
        <f aca="true">DATEDIF(F29,TODAY(),"Y")</f>
        <v>11</v>
      </c>
      <c r="K29" s="7" t="n">
        <v>4.4</v>
      </c>
      <c r="L29" s="8" t="s">
        <v>20</v>
      </c>
      <c r="M29" s="8" t="s">
        <v>21</v>
      </c>
      <c r="N29" s="7" t="s">
        <v>22</v>
      </c>
      <c r="O29" s="7" t="s">
        <v>23</v>
      </c>
    </row>
    <row r="30" customFormat="false" ht="15" hidden="false" customHeight="true" outlineLevel="0" collapsed="false">
      <c r="A30" s="3" t="n">
        <v>29</v>
      </c>
      <c r="B30" s="4" t="s">
        <v>128</v>
      </c>
      <c r="C30" s="4" t="s">
        <v>129</v>
      </c>
      <c r="D30" s="4" t="s">
        <v>40</v>
      </c>
      <c r="E30" s="4" t="s">
        <v>41</v>
      </c>
      <c r="F30" s="5" t="s">
        <v>130</v>
      </c>
      <c r="G30" s="6" t="n">
        <v>53000</v>
      </c>
      <c r="H30" s="6" t="n">
        <v>2120</v>
      </c>
      <c r="I30" s="6" t="n">
        <f aca="false">G30+H30</f>
        <v>55120</v>
      </c>
      <c r="J30" s="3" t="n">
        <f aca="true">DATEDIF(F30,TODAY(),"Y")</f>
        <v>2</v>
      </c>
      <c r="K30" s="3" t="n">
        <v>3.2</v>
      </c>
      <c r="L30" s="4" t="s">
        <v>43</v>
      </c>
      <c r="M30" s="4" t="s">
        <v>30</v>
      </c>
      <c r="N30" s="3" t="s">
        <v>22</v>
      </c>
      <c r="O30" s="3" t="s">
        <v>23</v>
      </c>
    </row>
    <row r="31" customFormat="false" ht="15" hidden="false" customHeight="true" outlineLevel="0" collapsed="false">
      <c r="A31" s="7" t="n">
        <v>30</v>
      </c>
      <c r="B31" s="8" t="s">
        <v>131</v>
      </c>
      <c r="C31" s="8" t="s">
        <v>132</v>
      </c>
      <c r="D31" s="8" t="s">
        <v>54</v>
      </c>
      <c r="E31" s="8" t="s">
        <v>55</v>
      </c>
      <c r="F31" s="9" t="s">
        <v>133</v>
      </c>
      <c r="G31" s="10" t="n">
        <v>63000</v>
      </c>
      <c r="H31" s="10" t="n">
        <v>9450</v>
      </c>
      <c r="I31" s="10" t="n">
        <f aca="false">G31+H31</f>
        <v>72450</v>
      </c>
      <c r="J31" s="7" t="n">
        <f aca="true">DATEDIF(F31,TODAY(),"Y")</f>
        <v>9</v>
      </c>
      <c r="K31" s="7" t="n">
        <v>4.1</v>
      </c>
      <c r="L31" s="8" t="s">
        <v>57</v>
      </c>
      <c r="M31" s="8" t="s">
        <v>58</v>
      </c>
      <c r="N31" s="7" t="s">
        <v>22</v>
      </c>
      <c r="O31" s="7" t="s">
        <v>23</v>
      </c>
    </row>
    <row r="32" customFormat="false" ht="15" hidden="false" customHeight="true" outlineLevel="0" collapsed="false">
      <c r="A32" s="3" t="n">
        <v>31</v>
      </c>
      <c r="B32" s="4" t="s">
        <v>134</v>
      </c>
      <c r="C32" s="4" t="s">
        <v>135</v>
      </c>
      <c r="D32" s="4" t="s">
        <v>81</v>
      </c>
      <c r="E32" s="4" t="s">
        <v>41</v>
      </c>
      <c r="F32" s="5" t="s">
        <v>136</v>
      </c>
      <c r="G32" s="6" t="n">
        <v>56000</v>
      </c>
      <c r="H32" s="6" t="n">
        <v>2800</v>
      </c>
      <c r="I32" s="6" t="n">
        <f aca="false">G32+H32</f>
        <v>58800</v>
      </c>
      <c r="J32" s="3" t="n">
        <f aca="true">DATEDIF(F32,TODAY(),"Y")</f>
        <v>7</v>
      </c>
      <c r="K32" s="3" t="n">
        <v>3.7</v>
      </c>
      <c r="L32" s="4" t="s">
        <v>83</v>
      </c>
      <c r="M32" s="4" t="s">
        <v>21</v>
      </c>
      <c r="N32" s="3" t="s">
        <v>22</v>
      </c>
      <c r="O32" s="3" t="s">
        <v>23</v>
      </c>
    </row>
    <row r="33" customFormat="false" ht="15" hidden="false" customHeight="true" outlineLevel="0" collapsed="false">
      <c r="A33" s="7" t="n">
        <v>32</v>
      </c>
      <c r="B33" s="8" t="s">
        <v>137</v>
      </c>
      <c r="C33" s="8" t="s">
        <v>102</v>
      </c>
      <c r="D33" s="8" t="s">
        <v>17</v>
      </c>
      <c r="E33" s="8" t="s">
        <v>18</v>
      </c>
      <c r="F33" s="9" t="s">
        <v>138</v>
      </c>
      <c r="G33" s="10" t="n">
        <v>60000</v>
      </c>
      <c r="H33" s="10" t="n">
        <v>3000</v>
      </c>
      <c r="I33" s="10" t="n">
        <f aca="false">G33+H33</f>
        <v>63000</v>
      </c>
      <c r="J33" s="7" t="n">
        <f aca="true">DATEDIF(F33,TODAY(),"Y")</f>
        <v>5</v>
      </c>
      <c r="K33" s="7" t="n">
        <v>3.6</v>
      </c>
      <c r="L33" s="8" t="s">
        <v>20</v>
      </c>
      <c r="M33" s="8" t="s">
        <v>30</v>
      </c>
      <c r="N33" s="7" t="s">
        <v>71</v>
      </c>
      <c r="O33" s="7" t="s">
        <v>139</v>
      </c>
    </row>
    <row r="34" customFormat="false" ht="15" hidden="false" customHeight="true" outlineLevel="0" collapsed="false">
      <c r="A34" s="3" t="n">
        <v>33</v>
      </c>
      <c r="B34" s="4" t="s">
        <v>140</v>
      </c>
      <c r="C34" s="4" t="s">
        <v>141</v>
      </c>
      <c r="D34" s="4" t="s">
        <v>33</v>
      </c>
      <c r="E34" s="4" t="s">
        <v>142</v>
      </c>
      <c r="F34" s="5" t="s">
        <v>143</v>
      </c>
      <c r="G34" s="6" t="n">
        <v>76000</v>
      </c>
      <c r="H34" s="6" t="n">
        <v>3800</v>
      </c>
      <c r="I34" s="6" t="n">
        <f aca="false">G34+H34</f>
        <v>79800</v>
      </c>
      <c r="J34" s="3" t="n">
        <f aca="true">DATEDIF(F34,TODAY(),"Y")</f>
        <v>9</v>
      </c>
      <c r="K34" s="3" t="n">
        <v>4.2</v>
      </c>
      <c r="L34" s="4" t="s">
        <v>36</v>
      </c>
      <c r="M34" s="4" t="s">
        <v>37</v>
      </c>
      <c r="N34" s="3" t="s">
        <v>22</v>
      </c>
      <c r="O34" s="3" t="s">
        <v>23</v>
      </c>
    </row>
    <row r="35" customFormat="false" ht="15" hidden="false" customHeight="true" outlineLevel="0" collapsed="false">
      <c r="A35" s="7" t="n">
        <v>34</v>
      </c>
      <c r="B35" s="8" t="s">
        <v>144</v>
      </c>
      <c r="C35" s="8" t="s">
        <v>145</v>
      </c>
      <c r="D35" s="8" t="s">
        <v>26</v>
      </c>
      <c r="E35" s="8" t="s">
        <v>27</v>
      </c>
      <c r="F35" s="9" t="s">
        <v>146</v>
      </c>
      <c r="G35" s="10" t="n">
        <v>47000</v>
      </c>
      <c r="H35" s="10" t="n">
        <v>1880</v>
      </c>
      <c r="I35" s="10" t="n">
        <f aca="false">G35+H35</f>
        <v>48880</v>
      </c>
      <c r="J35" s="7" t="n">
        <f aca="true">DATEDIF(F35,TODAY(),"Y")</f>
        <v>4</v>
      </c>
      <c r="K35" s="7" t="n">
        <v>3.5</v>
      </c>
      <c r="L35" s="8" t="s">
        <v>29</v>
      </c>
      <c r="M35" s="8" t="s">
        <v>58</v>
      </c>
      <c r="N35" s="7" t="s">
        <v>22</v>
      </c>
      <c r="O35" s="7" t="s">
        <v>23</v>
      </c>
    </row>
    <row r="36" customFormat="false" ht="15" hidden="false" customHeight="true" outlineLevel="0" collapsed="false">
      <c r="A36" s="3" t="n">
        <v>35</v>
      </c>
      <c r="B36" s="4" t="s">
        <v>147</v>
      </c>
      <c r="C36" s="4" t="s">
        <v>148</v>
      </c>
      <c r="D36" s="4" t="s">
        <v>40</v>
      </c>
      <c r="E36" s="4" t="s">
        <v>11</v>
      </c>
      <c r="F36" s="5" t="s">
        <v>149</v>
      </c>
      <c r="G36" s="6" t="n">
        <v>92000</v>
      </c>
      <c r="H36" s="6" t="n">
        <v>7360</v>
      </c>
      <c r="I36" s="6" t="n">
        <f aca="false">G36+H36</f>
        <v>99360</v>
      </c>
      <c r="J36" s="3" t="n">
        <f aca="true">DATEDIF(F36,TODAY(),"Y")</f>
        <v>12</v>
      </c>
      <c r="K36" s="3" t="n">
        <v>4.6</v>
      </c>
      <c r="L36" s="4" t="s">
        <v>43</v>
      </c>
      <c r="M36" s="4" t="s">
        <v>21</v>
      </c>
      <c r="N36" s="3" t="s">
        <v>22</v>
      </c>
      <c r="O36" s="3" t="s">
        <v>23</v>
      </c>
    </row>
    <row r="37" customFormat="false" ht="15" hidden="false" customHeight="true" outlineLevel="0" collapsed="false">
      <c r="A37" s="7" t="n">
        <v>36</v>
      </c>
      <c r="B37" s="8" t="s">
        <v>150</v>
      </c>
      <c r="C37" s="8" t="s">
        <v>151</v>
      </c>
      <c r="D37" s="8" t="s">
        <v>54</v>
      </c>
      <c r="E37" s="8" t="s">
        <v>152</v>
      </c>
      <c r="F37" s="9" t="s">
        <v>153</v>
      </c>
      <c r="G37" s="10" t="n">
        <v>89000</v>
      </c>
      <c r="H37" s="10" t="n">
        <v>13350</v>
      </c>
      <c r="I37" s="10" t="n">
        <f aca="false">G37+H37</f>
        <v>102350</v>
      </c>
      <c r="J37" s="7" t="n">
        <f aca="true">DATEDIF(F37,TODAY(),"Y")</f>
        <v>14</v>
      </c>
      <c r="K37" s="7" t="n">
        <v>4.5</v>
      </c>
      <c r="L37" s="8" t="s">
        <v>57</v>
      </c>
      <c r="M37" s="8" t="s">
        <v>30</v>
      </c>
      <c r="N37" s="7" t="s">
        <v>22</v>
      </c>
      <c r="O37" s="7" t="s">
        <v>23</v>
      </c>
    </row>
    <row r="38" customFormat="false" ht="15" hidden="false" customHeight="true" outlineLevel="0" collapsed="false">
      <c r="A38" s="3" t="n">
        <v>37</v>
      </c>
      <c r="B38" s="4" t="s">
        <v>154</v>
      </c>
      <c r="C38" s="4" t="s">
        <v>155</v>
      </c>
      <c r="D38" s="4" t="s">
        <v>81</v>
      </c>
      <c r="E38" s="4" t="s">
        <v>92</v>
      </c>
      <c r="F38" s="5" t="s">
        <v>156</v>
      </c>
      <c r="G38" s="6" t="n">
        <v>134000</v>
      </c>
      <c r="H38" s="6" t="n">
        <v>13400</v>
      </c>
      <c r="I38" s="6" t="n">
        <f aca="false">G38+H38</f>
        <v>147400</v>
      </c>
      <c r="J38" s="3" t="n">
        <f aca="true">DATEDIF(F38,TODAY(),"Y")</f>
        <v>19</v>
      </c>
      <c r="K38" s="3" t="n">
        <v>4.8</v>
      </c>
      <c r="L38" s="4" t="s">
        <v>83</v>
      </c>
      <c r="M38" s="4" t="s">
        <v>21</v>
      </c>
      <c r="N38" s="3" t="s">
        <v>22</v>
      </c>
      <c r="O38" s="3" t="s">
        <v>23</v>
      </c>
    </row>
    <row r="39" customFormat="false" ht="15" hidden="false" customHeight="true" outlineLevel="0" collapsed="false">
      <c r="A39" s="7" t="n">
        <v>38</v>
      </c>
      <c r="B39" s="8" t="s">
        <v>157</v>
      </c>
      <c r="C39" s="8" t="s">
        <v>158</v>
      </c>
      <c r="D39" s="8" t="s">
        <v>33</v>
      </c>
      <c r="E39" s="8" t="s">
        <v>34</v>
      </c>
      <c r="F39" s="9" t="s">
        <v>159</v>
      </c>
      <c r="G39" s="10" t="n">
        <v>84000</v>
      </c>
      <c r="H39" s="10" t="n">
        <v>4200</v>
      </c>
      <c r="I39" s="10" t="n">
        <f aca="false">G39+H39</f>
        <v>88200</v>
      </c>
      <c r="J39" s="7" t="n">
        <f aca="true">DATEDIF(F39,TODAY(),"Y")</f>
        <v>5</v>
      </c>
      <c r="K39" s="7" t="n">
        <v>4</v>
      </c>
      <c r="L39" s="8" t="s">
        <v>36</v>
      </c>
      <c r="M39" s="8" t="s">
        <v>37</v>
      </c>
      <c r="N39" s="7" t="s">
        <v>22</v>
      </c>
      <c r="O39" s="7" t="s">
        <v>23</v>
      </c>
    </row>
    <row r="40" customFormat="false" ht="15" hidden="false" customHeight="true" outlineLevel="0" collapsed="false">
      <c r="A40" s="3" t="n">
        <v>39</v>
      </c>
      <c r="B40" s="4" t="s">
        <v>160</v>
      </c>
      <c r="C40" s="4" t="s">
        <v>161</v>
      </c>
      <c r="D40" s="4" t="s">
        <v>17</v>
      </c>
      <c r="E40" s="4" t="s">
        <v>162</v>
      </c>
      <c r="F40" s="5" t="s">
        <v>163</v>
      </c>
      <c r="G40" s="6" t="n">
        <v>108000</v>
      </c>
      <c r="H40" s="6" t="n">
        <v>8640</v>
      </c>
      <c r="I40" s="6" t="n">
        <f aca="false">G40+H40</f>
        <v>116640</v>
      </c>
      <c r="J40" s="3" t="n">
        <f aca="true">DATEDIF(F40,TODAY(),"Y")</f>
        <v>11</v>
      </c>
      <c r="K40" s="3" t="n">
        <v>4.6</v>
      </c>
      <c r="L40" s="4" t="s">
        <v>20</v>
      </c>
      <c r="M40" s="4" t="s">
        <v>30</v>
      </c>
      <c r="N40" s="3" t="s">
        <v>22</v>
      </c>
      <c r="O40" s="3" t="s">
        <v>23</v>
      </c>
    </row>
    <row r="41" customFormat="false" ht="15" hidden="false" customHeight="true" outlineLevel="0" collapsed="false">
      <c r="A41" s="7" t="n">
        <v>40</v>
      </c>
      <c r="B41" s="8" t="s">
        <v>164</v>
      </c>
      <c r="C41" s="8" t="s">
        <v>165</v>
      </c>
      <c r="D41" s="8" t="s">
        <v>26</v>
      </c>
      <c r="E41" s="8" t="s">
        <v>11</v>
      </c>
      <c r="F41" s="9" t="s">
        <v>166</v>
      </c>
      <c r="G41" s="10" t="n">
        <v>90000</v>
      </c>
      <c r="H41" s="10" t="n">
        <v>7200</v>
      </c>
      <c r="I41" s="10" t="n">
        <f aca="false">G41+H41</f>
        <v>97200</v>
      </c>
      <c r="J41" s="7" t="n">
        <f aca="true">DATEDIF(F41,TODAY(),"Y")</f>
        <v>6</v>
      </c>
      <c r="K41" s="7" t="n">
        <v>4.3</v>
      </c>
      <c r="L41" s="8" t="s">
        <v>29</v>
      </c>
      <c r="M41" s="8" t="s">
        <v>21</v>
      </c>
      <c r="N41" s="7" t="s">
        <v>22</v>
      </c>
      <c r="O41" s="7" t="s">
        <v>23</v>
      </c>
    </row>
    <row r="42" customFormat="false" ht="15" hidden="false" customHeight="true" outlineLevel="0" collapsed="false">
      <c r="A42" s="3" t="n">
        <v>41</v>
      </c>
      <c r="B42" s="4" t="s">
        <v>167</v>
      </c>
      <c r="C42" s="4" t="s">
        <v>168</v>
      </c>
      <c r="D42" s="4" t="s">
        <v>40</v>
      </c>
      <c r="E42" s="4" t="s">
        <v>41</v>
      </c>
      <c r="F42" s="5" t="s">
        <v>169</v>
      </c>
      <c r="G42" s="6" t="n">
        <v>52000</v>
      </c>
      <c r="H42" s="6" t="n">
        <v>2080</v>
      </c>
      <c r="I42" s="6" t="n">
        <f aca="false">G42+H42</f>
        <v>54080</v>
      </c>
      <c r="J42" s="3" t="n">
        <f aca="true">DATEDIF(F42,TODAY(),"Y")</f>
        <v>3</v>
      </c>
      <c r="K42" s="3" t="n">
        <v>3</v>
      </c>
      <c r="L42" s="4" t="s">
        <v>43</v>
      </c>
      <c r="M42" s="4" t="s">
        <v>58</v>
      </c>
      <c r="N42" s="3" t="s">
        <v>71</v>
      </c>
      <c r="O42" s="3" t="s">
        <v>23</v>
      </c>
    </row>
    <row r="43" customFormat="false" ht="15" hidden="false" customHeight="true" outlineLevel="0" collapsed="false">
      <c r="A43" s="7" t="n">
        <v>42</v>
      </c>
      <c r="B43" s="8" t="s">
        <v>170</v>
      </c>
      <c r="C43" s="8" t="s">
        <v>171</v>
      </c>
      <c r="D43" s="8" t="s">
        <v>54</v>
      </c>
      <c r="E43" s="8" t="s">
        <v>55</v>
      </c>
      <c r="F43" s="9" t="s">
        <v>172</v>
      </c>
      <c r="G43" s="10" t="n">
        <v>65000</v>
      </c>
      <c r="H43" s="10" t="n">
        <v>9750</v>
      </c>
      <c r="I43" s="10" t="n">
        <f aca="false">G43+H43</f>
        <v>74750</v>
      </c>
      <c r="J43" s="7" t="n">
        <f aca="true">DATEDIF(F43,TODAY(),"Y")</f>
        <v>7</v>
      </c>
      <c r="K43" s="7" t="n">
        <v>4.2</v>
      </c>
      <c r="L43" s="8" t="s">
        <v>57</v>
      </c>
      <c r="M43" s="8" t="s">
        <v>37</v>
      </c>
      <c r="N43" s="7" t="s">
        <v>22</v>
      </c>
      <c r="O43" s="7" t="s">
        <v>23</v>
      </c>
    </row>
    <row r="44" customFormat="false" ht="15" hidden="false" customHeight="true" outlineLevel="0" collapsed="false">
      <c r="A44" s="3" t="n">
        <v>43</v>
      </c>
      <c r="B44" s="4" t="s">
        <v>173</v>
      </c>
      <c r="C44" s="4" t="s">
        <v>174</v>
      </c>
      <c r="D44" s="4" t="s">
        <v>33</v>
      </c>
      <c r="E44" s="4" t="s">
        <v>77</v>
      </c>
      <c r="F44" s="5" t="s">
        <v>175</v>
      </c>
      <c r="G44" s="6" t="n">
        <v>105000</v>
      </c>
      <c r="H44" s="6" t="n">
        <v>8400</v>
      </c>
      <c r="I44" s="6" t="n">
        <f aca="false">G44+H44</f>
        <v>113400</v>
      </c>
      <c r="J44" s="3" t="n">
        <f aca="true">DATEDIF(F44,TODAY(),"Y")</f>
        <v>14</v>
      </c>
      <c r="K44" s="3" t="n">
        <v>4.7</v>
      </c>
      <c r="L44" s="4" t="s">
        <v>36</v>
      </c>
      <c r="M44" s="4" t="s">
        <v>30</v>
      </c>
      <c r="N44" s="3" t="s">
        <v>22</v>
      </c>
      <c r="O44" s="3" t="s">
        <v>23</v>
      </c>
    </row>
    <row r="45" customFormat="false" ht="15" hidden="false" customHeight="true" outlineLevel="0" collapsed="false">
      <c r="A45" s="7" t="n">
        <v>44</v>
      </c>
      <c r="B45" s="8" t="s">
        <v>176</v>
      </c>
      <c r="C45" s="8" t="s">
        <v>177</v>
      </c>
      <c r="D45" s="8" t="s">
        <v>81</v>
      </c>
      <c r="E45" s="8" t="s">
        <v>27</v>
      </c>
      <c r="F45" s="9" t="s">
        <v>178</v>
      </c>
      <c r="G45" s="10" t="n">
        <v>50000</v>
      </c>
      <c r="H45" s="10" t="n">
        <v>2000</v>
      </c>
      <c r="I45" s="10" t="n">
        <f aca="false">G45+H45</f>
        <v>52000</v>
      </c>
      <c r="J45" s="7" t="n">
        <f aca="true">DATEDIF(F45,TODAY(),"Y")</f>
        <v>6</v>
      </c>
      <c r="K45" s="7" t="n">
        <v>3.5</v>
      </c>
      <c r="L45" s="8" t="s">
        <v>83</v>
      </c>
      <c r="M45" s="8" t="s">
        <v>21</v>
      </c>
      <c r="N45" s="7" t="s">
        <v>22</v>
      </c>
      <c r="O45" s="7" t="s">
        <v>23</v>
      </c>
    </row>
    <row r="46" customFormat="false" ht="15" hidden="false" customHeight="true" outlineLevel="0" collapsed="false">
      <c r="A46" s="3" t="n">
        <v>45</v>
      </c>
      <c r="B46" s="4" t="s">
        <v>179</v>
      </c>
      <c r="C46" s="4" t="s">
        <v>180</v>
      </c>
      <c r="D46" s="4" t="s">
        <v>17</v>
      </c>
      <c r="E46" s="4" t="s">
        <v>18</v>
      </c>
      <c r="F46" s="5" t="s">
        <v>181</v>
      </c>
      <c r="G46" s="6" t="n">
        <v>61000</v>
      </c>
      <c r="H46" s="6" t="n">
        <v>3050</v>
      </c>
      <c r="I46" s="6" t="n">
        <f aca="false">G46+H46</f>
        <v>64050</v>
      </c>
      <c r="J46" s="3" t="n">
        <f aca="true">DATEDIF(F46,TODAY(),"Y")</f>
        <v>3</v>
      </c>
      <c r="K46" s="3" t="n">
        <v>3.8</v>
      </c>
      <c r="L46" s="4" t="s">
        <v>20</v>
      </c>
      <c r="M46" s="4" t="s">
        <v>58</v>
      </c>
      <c r="N46" s="3" t="s">
        <v>22</v>
      </c>
      <c r="O46" s="3" t="s">
        <v>23</v>
      </c>
    </row>
    <row r="47" customFormat="false" ht="15" hidden="false" customHeight="true" outlineLevel="0" collapsed="false">
      <c r="A47" s="7" t="n">
        <v>46</v>
      </c>
      <c r="B47" s="8" t="s">
        <v>182</v>
      </c>
      <c r="C47" s="8" t="s">
        <v>183</v>
      </c>
      <c r="D47" s="8" t="s">
        <v>40</v>
      </c>
      <c r="E47" s="8" t="s">
        <v>92</v>
      </c>
      <c r="F47" s="9" t="s">
        <v>184</v>
      </c>
      <c r="G47" s="10" t="n">
        <v>136000</v>
      </c>
      <c r="H47" s="10" t="n">
        <v>13600</v>
      </c>
      <c r="I47" s="10" t="n">
        <f aca="false">G47+H47</f>
        <v>149600</v>
      </c>
      <c r="J47" s="7" t="n">
        <f aca="true">DATEDIF(F47,TODAY(),"Y")</f>
        <v>16</v>
      </c>
      <c r="K47" s="7" t="n">
        <v>4.6</v>
      </c>
      <c r="L47" s="8" t="s">
        <v>43</v>
      </c>
      <c r="M47" s="8" t="s">
        <v>30</v>
      </c>
      <c r="N47" s="7" t="s">
        <v>22</v>
      </c>
      <c r="O47" s="7" t="s">
        <v>23</v>
      </c>
    </row>
    <row r="48" customFormat="false" ht="15" hidden="false" customHeight="true" outlineLevel="0" collapsed="false">
      <c r="A48" s="3" t="n">
        <v>47</v>
      </c>
      <c r="B48" s="4" t="s">
        <v>185</v>
      </c>
      <c r="C48" s="4" t="s">
        <v>186</v>
      </c>
      <c r="D48" s="4" t="s">
        <v>54</v>
      </c>
      <c r="E48" s="4" t="s">
        <v>92</v>
      </c>
      <c r="F48" s="5" t="s">
        <v>187</v>
      </c>
      <c r="G48" s="6" t="n">
        <v>152000</v>
      </c>
      <c r="H48" s="6" t="n">
        <v>22800</v>
      </c>
      <c r="I48" s="6" t="n">
        <f aca="false">G48+H48</f>
        <v>174800</v>
      </c>
      <c r="J48" s="3" t="n">
        <f aca="true">DATEDIF(F48,TODAY(),"Y")</f>
        <v>19</v>
      </c>
      <c r="K48" s="3" t="n">
        <v>4.9</v>
      </c>
      <c r="L48" s="4" t="s">
        <v>57</v>
      </c>
      <c r="M48" s="4" t="s">
        <v>58</v>
      </c>
      <c r="N48" s="3" t="s">
        <v>22</v>
      </c>
      <c r="O48" s="3" t="s">
        <v>23</v>
      </c>
    </row>
    <row r="49" customFormat="false" ht="15" hidden="false" customHeight="true" outlineLevel="0" collapsed="false">
      <c r="A49" s="7" t="n">
        <v>48</v>
      </c>
      <c r="B49" s="8" t="s">
        <v>188</v>
      </c>
      <c r="C49" s="8" t="s">
        <v>189</v>
      </c>
      <c r="D49" s="8" t="s">
        <v>33</v>
      </c>
      <c r="E49" s="8" t="s">
        <v>99</v>
      </c>
      <c r="F49" s="9" t="s">
        <v>190</v>
      </c>
      <c r="G49" s="10" t="n">
        <v>125000</v>
      </c>
      <c r="H49" s="10" t="n">
        <v>12500</v>
      </c>
      <c r="I49" s="10" t="n">
        <f aca="false">G49+H49</f>
        <v>137500</v>
      </c>
      <c r="J49" s="7" t="n">
        <f aca="true">DATEDIF(F49,TODAY(),"Y")</f>
        <v>12</v>
      </c>
      <c r="K49" s="7" t="n">
        <v>4.8</v>
      </c>
      <c r="L49" s="8" t="s">
        <v>36</v>
      </c>
      <c r="M49" s="8" t="s">
        <v>37</v>
      </c>
      <c r="N49" s="7" t="s">
        <v>22</v>
      </c>
      <c r="O49" s="7" t="s">
        <v>23</v>
      </c>
    </row>
    <row r="50" customFormat="false" ht="15" hidden="false" customHeight="true" outlineLevel="0" collapsed="false">
      <c r="A50" s="3" t="n">
        <v>49</v>
      </c>
      <c r="B50" s="4" t="s">
        <v>191</v>
      </c>
      <c r="C50" s="4" t="s">
        <v>192</v>
      </c>
      <c r="D50" s="4" t="s">
        <v>81</v>
      </c>
      <c r="E50" s="4" t="s">
        <v>11</v>
      </c>
      <c r="F50" s="5" t="s">
        <v>193</v>
      </c>
      <c r="G50" s="6" t="n">
        <v>96000</v>
      </c>
      <c r="H50" s="6" t="n">
        <v>7680</v>
      </c>
      <c r="I50" s="6" t="n">
        <f aca="false">G50+H50</f>
        <v>103680</v>
      </c>
      <c r="J50" s="3" t="n">
        <f aca="true">DATEDIF(F50,TODAY(),"Y")</f>
        <v>8</v>
      </c>
      <c r="K50" s="3" t="n">
        <v>4.3</v>
      </c>
      <c r="L50" s="4" t="s">
        <v>83</v>
      </c>
      <c r="M50" s="4" t="s">
        <v>21</v>
      </c>
      <c r="N50" s="3" t="s">
        <v>22</v>
      </c>
      <c r="O50" s="3" t="s">
        <v>23</v>
      </c>
    </row>
    <row r="51" customFormat="false" ht="15" hidden="false" customHeight="true" outlineLevel="0" collapsed="false">
      <c r="A51" s="7" t="n">
        <v>50</v>
      </c>
      <c r="B51" s="8" t="s">
        <v>194</v>
      </c>
      <c r="C51" s="8" t="s">
        <v>195</v>
      </c>
      <c r="D51" s="8" t="s">
        <v>26</v>
      </c>
      <c r="E51" s="8" t="s">
        <v>41</v>
      </c>
      <c r="F51" s="9" t="s">
        <v>196</v>
      </c>
      <c r="G51" s="10" t="n">
        <v>48000</v>
      </c>
      <c r="H51" s="10" t="n">
        <v>1920</v>
      </c>
      <c r="I51" s="10" t="n">
        <f aca="false">G51+H51</f>
        <v>49920</v>
      </c>
      <c r="J51" s="7" t="n">
        <f aca="true">DATEDIF(F51,TODAY(),"Y")</f>
        <v>4</v>
      </c>
      <c r="K51" s="7" t="n">
        <v>3.7</v>
      </c>
      <c r="L51" s="8" t="s">
        <v>29</v>
      </c>
      <c r="M51" s="8" t="s">
        <v>30</v>
      </c>
      <c r="N51" s="7" t="s">
        <v>22</v>
      </c>
      <c r="O51" s="7" t="s">
        <v>23</v>
      </c>
    </row>
    <row r="53" customFormat="false" ht="15" hidden="false" customHeight="true" outlineLevel="0" collapsed="false">
      <c r="A53" s="11" t="s">
        <v>197</v>
      </c>
      <c r="B53" s="11" t="s">
        <v>23</v>
      </c>
      <c r="C53" s="12" t="n">
        <f aca="false">COUNTIF(O2:O51,"Active")</f>
        <v>49</v>
      </c>
      <c r="F53" s="11" t="s">
        <v>198</v>
      </c>
      <c r="G53" s="13" t="s">
        <v>199</v>
      </c>
      <c r="H53" s="13" t="s">
        <v>200</v>
      </c>
      <c r="I53" s="14" t="n">
        <f aca="false">SUM(I2:I51)</f>
        <v>4464930</v>
      </c>
      <c r="J53" s="11" t="s">
        <v>201</v>
      </c>
      <c r="K53" s="12" t="n">
        <f aca="false">AVERAGE(K2:K51)</f>
        <v>4.12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2026-05-30T22:10:23Z</dcterms:created>
  <dc:creator>openpyxl</dc:creator>
  <dc:description/>
  <dc:language>en-US</dc:language>
  <cp:lastModifiedBy/>
  <dcterms:modified xsi:type="dcterms:W3CDTF">2026-05-30T22:10:42Z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