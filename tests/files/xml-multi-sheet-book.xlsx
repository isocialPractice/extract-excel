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Users\johnh\Documents\GitHub\isocialPractice\extract-excel\tests\files\"/>
    </mc:Choice>
  </mc:AlternateContent>
  <xr:revisionPtr revIDLastSave="0" documentId="13_ncr:1_{0D459DC5-6653-4CF0-8370-4A4D12395C2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ta" sheetId="3" r:id="rId1"/>
    <sheet name="On Boarding" sheetId="4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1" i="3" l="1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797410-C63B-4E27-8857-9EFBF4C1B5C2}" name="data" type="4" refreshedVersion="0" background="1">
    <webPr xml="1" sourceData="1" url="D:\Users\johnh\Documents\GitHub\isocialPractice\extract-excel\tests\maps\data.xml" htmlTables="1" htmlFormat="all"/>
  </connection>
  <connection id="2" xr16:uid="{7372BAA8-44BB-4D38-BB68-88114695054A}" name="data1" type="4" refreshedVersion="0" background="1">
    <webPr xml="1" sourceData="1" url="D:\Users\johnh\Documents\GitHub\isocialPractice\extract-excel\tests\maps\data.xml" htmlTables="1" htmlFormat="all"/>
  </connection>
  <connection id="3" xr16:uid="{E196950B-46C2-4F7B-9616-514377F1B409}" name="onBoarding" type="4" refreshedVersion="0" background="1">
    <webPr xml="1" sourceData="1" url="D:\Users\johnh\Documents\GitHub\isocialPractice\extract-excel\tests\maps\onBoarding.xml" htmlTables="1" htmlFormat="all"/>
  </connection>
  <connection id="4" xr16:uid="{57F74DE7-BE3F-4C41-BB33-CC19B703F2FE}" name="onBoarding1" type="4" refreshedVersion="0" background="1">
    <webPr xml="1" sourceData="1" url="D:\Users\johnh\Documents\GitHub\isocialPractice\extract-excel\tests\maps\onBoarding.xml" htmlTables="1" htmlFormat="all"/>
  </connection>
</connections>
</file>

<file path=xl/sharedStrings.xml><?xml version="1.0" encoding="utf-8"?>
<sst xmlns="http://schemas.openxmlformats.org/spreadsheetml/2006/main" count="501" uniqueCount="197">
  <si>
    <t>ID</t>
  </si>
  <si>
    <t>Last Name</t>
  </si>
  <si>
    <t>First Name</t>
  </si>
  <si>
    <t>Department</t>
  </si>
  <si>
    <t>Job Title</t>
  </si>
  <si>
    <t>Start Date</t>
  </si>
  <si>
    <t>Salary</t>
  </si>
  <si>
    <t>Bonus</t>
  </si>
  <si>
    <t>Total Comp</t>
  </si>
  <si>
    <t>Years of Service</t>
  </si>
  <si>
    <t>Performance Score</t>
  </si>
  <si>
    <t>Manager</t>
  </si>
  <si>
    <t>Location</t>
  </si>
  <si>
    <t>FT/PT</t>
  </si>
  <si>
    <t>Status</t>
  </si>
  <si>
    <t>Anderson</t>
  </si>
  <si>
    <t>James</t>
  </si>
  <si>
    <t>Finance</t>
  </si>
  <si>
    <t>Analyst</t>
  </si>
  <si>
    <t>2018-03-12</t>
  </si>
  <si>
    <t>Williams</t>
  </si>
  <si>
    <t>Chicago</t>
  </si>
  <si>
    <t>FT</t>
  </si>
  <si>
    <t>Active</t>
  </si>
  <si>
    <t>Baker</t>
  </si>
  <si>
    <t>Patricia</t>
  </si>
  <si>
    <t>HR</t>
  </si>
  <si>
    <t>Coordinator</t>
  </si>
  <si>
    <t>2021-07-01</t>
  </si>
  <si>
    <t>Thompson</t>
  </si>
  <si>
    <t>New York</t>
  </si>
  <si>
    <t>Carter</t>
  </si>
  <si>
    <t>Robert</t>
  </si>
  <si>
    <t>IT</t>
  </si>
  <si>
    <t>Developer</t>
  </si>
  <si>
    <t>2019-11-05</t>
  </si>
  <si>
    <t>Harris</t>
  </si>
  <si>
    <t>Austin</t>
  </si>
  <si>
    <t>Davis</t>
  </si>
  <si>
    <t>Linda</t>
  </si>
  <si>
    <t>Marketing</t>
  </si>
  <si>
    <t>Specialist</t>
  </si>
  <si>
    <t>2020-02-18</t>
  </si>
  <si>
    <t>Martin</t>
  </si>
  <si>
    <t>Evans</t>
  </si>
  <si>
    <t>Michael</t>
  </si>
  <si>
    <t>Senior Analyst</t>
  </si>
  <si>
    <t>2015-08-22</t>
  </si>
  <si>
    <t>Foster</t>
  </si>
  <si>
    <t>Barbara</t>
  </si>
  <si>
    <t>Systems Admin</t>
  </si>
  <si>
    <t>2022-01-10</t>
  </si>
  <si>
    <t>Garcia</t>
  </si>
  <si>
    <t>William</t>
  </si>
  <si>
    <t>Sales</t>
  </si>
  <si>
    <t>Account Exec</t>
  </si>
  <si>
    <t>2017-05-30</t>
  </si>
  <si>
    <t>Clark</t>
  </si>
  <si>
    <t>Los Angeles</t>
  </si>
  <si>
    <t>Hall</t>
  </si>
  <si>
    <t>Elizabeth</t>
  </si>
  <si>
    <t>2013-09-14</t>
  </si>
  <si>
    <t>Ingram</t>
  </si>
  <si>
    <t>David</t>
  </si>
  <si>
    <t>2016-04-03</t>
  </si>
  <si>
    <t>Jones</t>
  </si>
  <si>
    <t>Susan</t>
  </si>
  <si>
    <t>2023-06-19</t>
  </si>
  <si>
    <t>King</t>
  </si>
  <si>
    <t>Joseph</t>
  </si>
  <si>
    <t>2020-10-27</t>
  </si>
  <si>
    <t>PT</t>
  </si>
  <si>
    <t>Lewis</t>
  </si>
  <si>
    <t>Sarah</t>
  </si>
  <si>
    <t>2018-12-01</t>
  </si>
  <si>
    <t>Moore</t>
  </si>
  <si>
    <t>Thomas</t>
  </si>
  <si>
    <t>Senior Developer</t>
  </si>
  <si>
    <t>2014-07-07</t>
  </si>
  <si>
    <t>Nelson</t>
  </si>
  <si>
    <t>Karen</t>
  </si>
  <si>
    <t>Operations</t>
  </si>
  <si>
    <t>2019-03-25</t>
  </si>
  <si>
    <t>White</t>
  </si>
  <si>
    <t>Owen</t>
  </si>
  <si>
    <t>Charles</t>
  </si>
  <si>
    <t>2021-11-08</t>
  </si>
  <si>
    <t>Parker</t>
  </si>
  <si>
    <t>Nancy</t>
  </si>
  <si>
    <t>2012-06-15</t>
  </si>
  <si>
    <t>Quinn</t>
  </si>
  <si>
    <t>Mark</t>
  </si>
  <si>
    <t>Director</t>
  </si>
  <si>
    <t>2010-02-28</t>
  </si>
  <si>
    <t>Reed</t>
  </si>
  <si>
    <t>Dorothy</t>
  </si>
  <si>
    <t>2022-08-14</t>
  </si>
  <si>
    <t>Scott</t>
  </si>
  <si>
    <t>Paul</t>
  </si>
  <si>
    <t>Architect</t>
  </si>
  <si>
    <t>2011-05-17</t>
  </si>
  <si>
    <t>Taylor</t>
  </si>
  <si>
    <t>Ruth</t>
  </si>
  <si>
    <t>2016-09-09</t>
  </si>
  <si>
    <t>Upton</t>
  </si>
  <si>
    <t>Steven</t>
  </si>
  <si>
    <t>2023-01-23</t>
  </si>
  <si>
    <t>Vargas</t>
  </si>
  <si>
    <t>Helen</t>
  </si>
  <si>
    <t>2009-11-11</t>
  </si>
  <si>
    <t>Walker</t>
  </si>
  <si>
    <t>Kevin</t>
  </si>
  <si>
    <t>2020-07-06</t>
  </si>
  <si>
    <t>Wright</t>
  </si>
  <si>
    <t>Angela</t>
  </si>
  <si>
    <t>2019-05-20</t>
  </si>
  <si>
    <t>Young</t>
  </si>
  <si>
    <t>Larry</t>
  </si>
  <si>
    <t>2021-04-12</t>
  </si>
  <si>
    <t>Allen</t>
  </si>
  <si>
    <t>Deborah</t>
  </si>
  <si>
    <t>2008-08-03</t>
  </si>
  <si>
    <t>Brown</t>
  </si>
  <si>
    <t>Ronald</t>
  </si>
  <si>
    <t>2022-10-31</t>
  </si>
  <si>
    <t>Collins</t>
  </si>
  <si>
    <t>Donna</t>
  </si>
  <si>
    <t>2015-03-16</t>
  </si>
  <si>
    <t>Dixon</t>
  </si>
  <si>
    <t>Kenneth</t>
  </si>
  <si>
    <t>2023-09-04</t>
  </si>
  <si>
    <t>Edwards</t>
  </si>
  <si>
    <t>Carol</t>
  </si>
  <si>
    <t>2017-01-23</t>
  </si>
  <si>
    <t>Fleming</t>
  </si>
  <si>
    <t>George</t>
  </si>
  <si>
    <t>2018-06-11</t>
  </si>
  <si>
    <t>Grant</t>
  </si>
  <si>
    <t>2020-12-07</t>
  </si>
  <si>
    <t>Inactive</t>
  </si>
  <si>
    <t>Hunt</t>
  </si>
  <si>
    <t>Harold</t>
  </si>
  <si>
    <t>QA Engineer</t>
  </si>
  <si>
    <t>2016-08-29</t>
  </si>
  <si>
    <t>Irwin</t>
  </si>
  <si>
    <t>Janet</t>
  </si>
  <si>
    <t>2022-03-15</t>
  </si>
  <si>
    <t>Jackson</t>
  </si>
  <si>
    <t>Ralph</t>
  </si>
  <si>
    <t>2013-10-22</t>
  </si>
  <si>
    <t>Knox</t>
  </si>
  <si>
    <t>Virginia</t>
  </si>
  <si>
    <t>Senior Exec</t>
  </si>
  <si>
    <t>2011-07-18</t>
  </si>
  <si>
    <t>Long</t>
  </si>
  <si>
    <t>Roy</t>
  </si>
  <si>
    <t>2007-04-05</t>
  </si>
  <si>
    <t>Mason</t>
  </si>
  <si>
    <t>Mildred</t>
  </si>
  <si>
    <t>2021-02-22</t>
  </si>
  <si>
    <t>Nash</t>
  </si>
  <si>
    <t>Philip</t>
  </si>
  <si>
    <t>Controller</t>
  </si>
  <si>
    <t>2014-11-30</t>
  </si>
  <si>
    <t>Olsen</t>
  </si>
  <si>
    <t>Lillian</t>
  </si>
  <si>
    <t>2019-08-16</t>
  </si>
  <si>
    <t>Price</t>
  </si>
  <si>
    <t>Raymond</t>
  </si>
  <si>
    <t>2023-04-03</t>
  </si>
  <si>
    <t>Ruiz</t>
  </si>
  <si>
    <t>Phyllis</t>
  </si>
  <si>
    <t>2018-09-25</t>
  </si>
  <si>
    <t>Simon</t>
  </si>
  <si>
    <t>Walter</t>
  </si>
  <si>
    <t>2012-01-09</t>
  </si>
  <si>
    <t>Turner</t>
  </si>
  <si>
    <t>Evelyn</t>
  </si>
  <si>
    <t>2020-05-14</t>
  </si>
  <si>
    <t>Underwood</t>
  </si>
  <si>
    <t>Wayne</t>
  </si>
  <si>
    <t>2022-07-28</t>
  </si>
  <si>
    <t>Vance</t>
  </si>
  <si>
    <t>Theresa</t>
  </si>
  <si>
    <t>2010-03-17</t>
  </si>
  <si>
    <t>Webb</t>
  </si>
  <si>
    <t>Arthur</t>
  </si>
  <si>
    <t>2006-12-04</t>
  </si>
  <si>
    <t>Xavier</t>
  </si>
  <si>
    <t>Doris</t>
  </si>
  <si>
    <t>2013-06-21</t>
  </si>
  <si>
    <t>York</t>
  </si>
  <si>
    <t>Roger</t>
  </si>
  <si>
    <t>2017-10-08</t>
  </si>
  <si>
    <t>Zimmerman</t>
  </si>
  <si>
    <t>Gloria</t>
  </si>
  <si>
    <t>2021-09-13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</si>
</sst>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4" x14ac:knownFonts="1">
    <font>
      <sz val="11"/>
      <color theme="1"/>
      <name val="Calibri"/>
      <family val="2"/>
      <charset val="1"/>
    </font>
    <font>
      <sz val="11"/>
      <name val="Calibri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right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164" fontId="1" fillId="4" borderId="1" xfId="0" applyNumberFormat="1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right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3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/>
    <xf numFmtId="164" fontId="1" fillId="4" borderId="7" xfId="0" applyNumberFormat="1" applyFont="1" applyFill="1" applyBorder="1" applyAlignment="1">
      <alignment horizontal="center"/>
    </xf>
    <xf numFmtId="165" fontId="1" fillId="4" borderId="7" xfId="0" applyNumberFormat="1" applyFont="1" applyFill="1" applyBorder="1" applyAlignment="1">
      <alignment horizontal="right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2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numFmt numFmtId="165" formatCode="\$#,##0"/>
      <fill>
        <patternFill patternType="solid">
          <fgColor rgb="FFF2F2F2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numFmt numFmtId="165" formatCode="\$#,##0"/>
      <fill>
        <patternFill patternType="solid">
          <fgColor rgb="FFF2F2F2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numFmt numFmtId="165" formatCode="\$#,##0"/>
      <fill>
        <patternFill patternType="solid">
          <fgColor rgb="FFF2F2F2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numFmt numFmtId="164" formatCode="yyyy\-mm\-dd"/>
      <fill>
        <patternFill patternType="solid">
          <fgColor rgb="FFF2F2F2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F2F2F2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  <fill>
        <patternFill patternType="solid">
          <fgColor rgb="FFC0C0C0"/>
          <bgColor rgb="FFD9D9D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3">
    <xsd:schema xmlns:xsd="http://www.w3.org/2001/XMLSchema" xmlns="">
      <xsd:element nillable="true" name="data">
        <xsd:complexType>
          <xsd:sequence minOccurs="0">
            <xsd:element minOccurs="0" maxOccurs="unbounded" nillable="true" name="row" form="unqualified">
              <xsd:complexType>
                <xsd:sequence minOccurs="0">
                  <xsd:element minOccurs="0" nillable="true" type="xsd:string" name="ID" form="unqualified"/>
                  <xsd:element minOccurs="0" nillable="true" type="xsd:string" name="Last_Name" form="unqualified"/>
                  <xsd:element minOccurs="0" nillable="true" type="xsd:string" name="First_Name" form="unqualified"/>
                  <xsd:element minOccurs="0" nillable="true" type="xsd:string" name="Department" form="unqualified"/>
                  <xsd:element minOccurs="0" nillable="true" type="xsd:string" name="Job_Title" form="unqualified"/>
                  <xsd:element minOccurs="0" nillable="true" type="xsd:string" name="Start_Date" form="unqualified"/>
                  <xsd:element minOccurs="0" nillable="true" type="xsd:string" name="Salary" form="unqualified"/>
                  <xsd:element minOccurs="0" nillable="true" type="xsd:string" name="Bonus" form="unqualified"/>
                  <xsd:element minOccurs="0" nillable="true" type="xsd:string" name="Total_Comp" form="unqualified"/>
                  <xsd:element minOccurs="0" nillable="true" type="xsd:string" name="Years_of_Service" form="unqualified"/>
                  <xsd:element minOccurs="0" nillable="true" type="xsd:string" name="Performance_Score" form="unqualified"/>
                  <xsd:element minOccurs="0" nillable="true" type="xsd:string" name="Manager" form="unqualified"/>
                  <xsd:element minOccurs="0" nillable="true" type="xsd:string" name="Location" form="unqualified"/>
                  <xsd:element minOccurs="0" nillable="true" type="xsd:string" name="FT_PT" form="unqualified"/>
                  <xsd:element minOccurs="0" nillable="true" type="xsd:string" name="Status" form="unqualified"/>
                </xsd:sequence>
              </xsd:complexType>
            </xsd:element>
          </xsd:sequence>
        </xsd:complexType>
      </xsd:element>
    </xsd:schema>
  </Schema>
  <Schema ID="Schema5">
    <xsd:schema xmlns:xsd="http://www.w3.org/2001/XMLSchema" xmlns="">
      <xsd:element nillable="true" name="onBoarding">
        <xsd:complexType>
          <xsd:sequence minOccurs="0">
            <xsd:element minOccurs="0" maxOccurs="unbounded" nillable="true" name="row" form="unqualified">
              <xsd:complexType>
                <xsd:sequence minOccurs="0">
                  <xsd:element minOccurs="0" nillable="true" type="xsd:string" name="ID" form="unqualified"/>
                  <xsd:element minOccurs="0" nillable="true" type="xsd:string" name="First_Name" form="unqualified"/>
                  <xsd:element minOccurs="0" nillable="true" type="xsd:string" name="Last_Name" form="unqualified"/>
                  <xsd:element minOccurs="0" nillable="true" type="xsd:string" name="Department" form="unqualified"/>
                  <xsd:element minOccurs="0" nillable="true" type="xsd:string" name="Start_Date" form="unqualified"/>
                  <xsd:element minOccurs="0" nillable="true" type="xsd:string" name="Salary" form="unqualified"/>
                </xsd:sequence>
              </xsd:complexType>
            </xsd:element>
          </xsd:sequence>
        </xsd:complexType>
      </xsd:element>
    </xsd:schema>
  </Schema>
  <Map ID="3" Name="data_Map" RootElement="data" SchemaID="Schema3" ShowImportExportValidationErrors="false" AutoFit="true" Append="false" PreserveSortAFLayout="true" PreserveFormat="true">
    <DataBinding FileBinding="true" ConnectionID="2" DataBindingLoadMode="1"/>
  </Map>
  <Map ID="5" Name="onBoarding_Map" RootElement="onBoarding" SchemaID="Schema5" ShowImportExportValidationErrors="false" AutoFit="true" Append="false" PreserveSortAFLayout="true" PreserveFormat="true">
    <DataBinding FileBinding="true" ConnectionID="4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F016A89-81A1-462A-AD4B-F23F0A29425D}" name="Table49" displayName="Table49" ref="A1:O51" tableType="xml" totalsRowShown="0" headerRowDxfId="25" headerRowBorderDxfId="26" tableBorderDxfId="27" connectionId="2">
  <autoFilter ref="A1:O51" xr:uid="{6F016A89-81A1-462A-AD4B-F23F0A29425D}"/>
  <tableColumns count="15">
    <tableColumn id="1" xr3:uid="{9EDBD450-CCCC-4257-9FF7-7EB4CC232151}" uniqueName="ID" name="ID" dataDxfId="24">
      <xmlColumnPr mapId="3" xpath="/data/row/ID" xmlDataType="string"/>
    </tableColumn>
    <tableColumn id="2" xr3:uid="{A33401D1-D998-4D54-B241-6D17FA7B02DB}" uniqueName="Last_Name" name="Last Name" dataDxfId="23">
      <xmlColumnPr mapId="3" xpath="/data/row/Last_Name" xmlDataType="string"/>
    </tableColumn>
    <tableColumn id="3" xr3:uid="{BDE7CE4C-888D-454E-920F-0EB4FA3AF36D}" uniqueName="First_Name" name="First Name" dataDxfId="22">
      <xmlColumnPr mapId="3" xpath="/data/row/First_Name" xmlDataType="string"/>
    </tableColumn>
    <tableColumn id="4" xr3:uid="{7FB5F61D-17A2-41E7-8185-5EC2C3A9E63F}" uniqueName="Department" name="Department" dataDxfId="21">
      <xmlColumnPr mapId="3" xpath="/data/row/Department" xmlDataType="string"/>
    </tableColumn>
    <tableColumn id="5" xr3:uid="{C36D8E84-D71A-48EC-9472-4F4F998CBB50}" uniqueName="Job_Title" name="Job Title" dataDxfId="20">
      <xmlColumnPr mapId="3" xpath="/data/row/Job_Title" xmlDataType="string"/>
    </tableColumn>
    <tableColumn id="6" xr3:uid="{B7ABBB29-65EC-42D0-A938-E036BD7DA774}" uniqueName="Start_Date" name="Start Date" dataDxfId="19">
      <xmlColumnPr mapId="3" xpath="/data/row/Start_Date" xmlDataType="string"/>
    </tableColumn>
    <tableColumn id="7" xr3:uid="{633E437F-2B6D-45F5-BDAF-0D6D5B1C636F}" uniqueName="Salary" name="Salary" dataDxfId="18">
      <xmlColumnPr mapId="3" xpath="/data/row/Salary" xmlDataType="string"/>
    </tableColumn>
    <tableColumn id="8" xr3:uid="{C2565ECF-F502-4080-9F3E-EEFEFFE2DD85}" uniqueName="Bonus" name="Bonus" dataDxfId="17">
      <xmlColumnPr mapId="3" xpath="/data/row/Bonus" xmlDataType="string"/>
    </tableColumn>
    <tableColumn id="9" xr3:uid="{9049E483-3B89-4B50-BBC0-31D9A312DAAC}" uniqueName="Total_Comp" name="Total Comp" dataDxfId="16">
      <calculatedColumnFormula>G2+H2</calculatedColumnFormula>
      <xmlColumnPr mapId="3" xpath="/data/row/Total_Comp" xmlDataType="string"/>
    </tableColumn>
    <tableColumn id="10" xr3:uid="{B41BD734-ADF1-4ACD-BA08-63BEA986C586}" uniqueName="Years_of_Service" name="Years of Service" dataDxfId="15">
      <calculatedColumnFormula>DATEDIF(F2,TODAY(),"Y")</calculatedColumnFormula>
      <xmlColumnPr mapId="3" xpath="/data/row/Years_of_Service" xmlDataType="string"/>
    </tableColumn>
    <tableColumn id="11" xr3:uid="{26829A73-FBD8-4CB7-9587-1E0C85878A79}" uniqueName="Performance_Score" name="Performance Score" dataDxfId="14">
      <xmlColumnPr mapId="3" xpath="/data/row/Performance_Score" xmlDataType="string"/>
    </tableColumn>
    <tableColumn id="12" xr3:uid="{2A1CA012-8915-4920-9FE2-9401D826359A}" uniqueName="Manager" name="Manager" dataDxfId="13">
      <xmlColumnPr mapId="3" xpath="/data/row/Manager" xmlDataType="string"/>
    </tableColumn>
    <tableColumn id="13" xr3:uid="{313A9CD4-FC8D-452C-8A7D-5EBFB04C7533}" uniqueName="Location" name="Location" dataDxfId="12">
      <xmlColumnPr mapId="3" xpath="/data/row/Location" xmlDataType="string"/>
    </tableColumn>
    <tableColumn id="14" xr3:uid="{72879278-25C9-450B-98EE-C21F39FE461D}" uniqueName="FT_PT" name="FT/PT" dataDxfId="11">
      <xmlColumnPr mapId="3" xpath="/data/row/FT_PT" xmlDataType="string"/>
    </tableColumn>
    <tableColumn id="15" xr3:uid="{75B0A57D-5D6F-45E3-AA76-A9EB19CB9841}" uniqueName="Status" name="Status" dataDxfId="10">
      <xmlColumnPr mapId="3" xpath="/data/row/Status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6BEDB3BC-CEA8-47EE-8616-5554EF681C87}" name="Table57" displayName="Table57" ref="A1:F11" tableType="xml" totalsRowShown="0" headerRowDxfId="7" dataDxfId="0" headerRowBorderDxfId="8" tableBorderDxfId="9" connectionId="4">
  <autoFilter ref="A1:F11" xr:uid="{6BEDB3BC-CEA8-47EE-8616-5554EF681C87}"/>
  <tableColumns count="6">
    <tableColumn id="1" xr3:uid="{92BEE3DB-23A6-42D8-86CF-D000EBE23A7A}" uniqueName="ID" name="ID" dataDxfId="6">
      <xmlColumnPr mapId="5" xpath="/onBoarding/row/ID" xmlDataType="string"/>
    </tableColumn>
    <tableColumn id="2" xr3:uid="{A6E9280F-5C25-4751-94E7-476B33C20216}" uniqueName="First_Name" name="First Name" dataDxfId="5">
      <xmlColumnPr mapId="5" xpath="/onBoarding/row/First_Name" xmlDataType="string"/>
    </tableColumn>
    <tableColumn id="3" xr3:uid="{8567D13B-87E2-49EA-A2A6-708E6D902468}" uniqueName="Last_Name" name="Last Name" dataDxfId="4">
      <xmlColumnPr mapId="5" xpath="/onBoarding/row/Last_Name" xmlDataType="string"/>
    </tableColumn>
    <tableColumn id="4" xr3:uid="{648E32CB-E77C-4F2B-AC11-9A3D3A4458A1}" uniqueName="Department" name="Department" dataDxfId="3">
      <xmlColumnPr mapId="5" xpath="/onBoarding/row/Department" xmlDataType="string"/>
    </tableColumn>
    <tableColumn id="5" xr3:uid="{2C1816CE-E526-407C-96BC-2CFB01090F86}" uniqueName="Start_Date" name="Start Date" dataDxfId="2">
      <xmlColumnPr mapId="5" xpath="/onBoarding/row/Start_Date" xmlDataType="string"/>
    </tableColumn>
    <tableColumn id="6" xr3:uid="{3F5C05C9-87CF-41F8-B60C-070390E8C855}" uniqueName="Salary" name="Salary" dataDxfId="1">
      <xmlColumnPr mapId="5" xpath="/onBoarding/row/Salary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1197-847E-4A0F-8A14-CF345A8BDD01}">
  <dimension ref="A1:O51"/>
  <sheetViews>
    <sheetView tabSelected="1" workbookViewId="0"/>
  </sheetViews>
  <sheetFormatPr defaultRowHeight="15" x14ac:dyDescent="0.25"/>
  <cols>
    <col min="1" max="1" width="5" customWidth="1"/>
    <col min="2" max="2" width="12.28515625" customWidth="1"/>
    <col min="3" max="3" width="12.7109375" customWidth="1"/>
    <col min="4" max="4" width="13.85546875" customWidth="1"/>
    <col min="5" max="5" width="10.5703125" customWidth="1"/>
    <col min="6" max="6" width="11.85546875" customWidth="1"/>
    <col min="7" max="7" width="8.42578125" customWidth="1"/>
    <col min="8" max="8" width="8.5703125" customWidth="1"/>
    <col min="9" max="9" width="13.140625" customWidth="1"/>
    <col min="10" max="10" width="17.140625" customWidth="1"/>
    <col min="11" max="11" width="19.85546875" customWidth="1"/>
    <col min="12" max="12" width="11" customWidth="1"/>
    <col min="13" max="13" width="10.5703125" customWidth="1"/>
    <col min="14" max="14" width="8.140625" customWidth="1"/>
    <col min="15" max="15" width="8.5703125" customWidth="1"/>
  </cols>
  <sheetData>
    <row r="1" spans="1:15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</row>
    <row r="2" spans="1:15" x14ac:dyDescent="0.25">
      <c r="A2" s="11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4">
        <v>62000</v>
      </c>
      <c r="H2" s="4">
        <v>3100</v>
      </c>
      <c r="I2" s="4">
        <f t="shared" ref="I2:I51" si="0">G2+H2</f>
        <v>65100</v>
      </c>
      <c r="J2" s="1">
        <f t="shared" ref="J2:J51" ca="1" si="1">DATEDIF(F2,TODAY(),"Y")</f>
        <v>8</v>
      </c>
      <c r="K2" s="1">
        <v>3.8</v>
      </c>
      <c r="L2" s="2" t="s">
        <v>20</v>
      </c>
      <c r="M2" s="2" t="s">
        <v>21</v>
      </c>
      <c r="N2" s="1" t="s">
        <v>22</v>
      </c>
      <c r="O2" s="13" t="s">
        <v>23</v>
      </c>
    </row>
    <row r="3" spans="1:15" x14ac:dyDescent="0.25">
      <c r="A3" s="12">
        <v>2</v>
      </c>
      <c r="B3" s="6" t="s">
        <v>24</v>
      </c>
      <c r="C3" s="6" t="s">
        <v>25</v>
      </c>
      <c r="D3" s="6" t="s">
        <v>26</v>
      </c>
      <c r="E3" s="6" t="s">
        <v>27</v>
      </c>
      <c r="F3" s="7" t="s">
        <v>28</v>
      </c>
      <c r="G3" s="8">
        <v>48000</v>
      </c>
      <c r="H3" s="8">
        <v>1920</v>
      </c>
      <c r="I3" s="8">
        <f t="shared" si="0"/>
        <v>49920</v>
      </c>
      <c r="J3" s="5">
        <f t="shared" ca="1" si="1"/>
        <v>4</v>
      </c>
      <c r="K3" s="5">
        <v>4.0999999999999996</v>
      </c>
      <c r="L3" s="6" t="s">
        <v>29</v>
      </c>
      <c r="M3" s="6" t="s">
        <v>30</v>
      </c>
      <c r="N3" s="5" t="s">
        <v>22</v>
      </c>
      <c r="O3" s="14" t="s">
        <v>23</v>
      </c>
    </row>
    <row r="4" spans="1:15" x14ac:dyDescent="0.25">
      <c r="A4" s="11">
        <v>3</v>
      </c>
      <c r="B4" s="2" t="s">
        <v>31</v>
      </c>
      <c r="C4" s="2" t="s">
        <v>32</v>
      </c>
      <c r="D4" s="2" t="s">
        <v>33</v>
      </c>
      <c r="E4" s="2" t="s">
        <v>34</v>
      </c>
      <c r="F4" s="3" t="s">
        <v>35</v>
      </c>
      <c r="G4" s="4">
        <v>87000</v>
      </c>
      <c r="H4" s="4">
        <v>6090</v>
      </c>
      <c r="I4" s="4">
        <f t="shared" si="0"/>
        <v>93090</v>
      </c>
      <c r="J4" s="1">
        <f t="shared" ca="1" si="1"/>
        <v>6</v>
      </c>
      <c r="K4" s="1">
        <v>4.5</v>
      </c>
      <c r="L4" s="2" t="s">
        <v>36</v>
      </c>
      <c r="M4" s="2" t="s">
        <v>37</v>
      </c>
      <c r="N4" s="1" t="s">
        <v>22</v>
      </c>
      <c r="O4" s="13" t="s">
        <v>23</v>
      </c>
    </row>
    <row r="5" spans="1:15" x14ac:dyDescent="0.25">
      <c r="A5" s="12">
        <v>4</v>
      </c>
      <c r="B5" s="6" t="s">
        <v>38</v>
      </c>
      <c r="C5" s="6" t="s">
        <v>39</v>
      </c>
      <c r="D5" s="6" t="s">
        <v>40</v>
      </c>
      <c r="E5" s="6" t="s">
        <v>41</v>
      </c>
      <c r="F5" s="7" t="s">
        <v>42</v>
      </c>
      <c r="G5" s="8">
        <v>55000</v>
      </c>
      <c r="H5" s="8">
        <v>2750</v>
      </c>
      <c r="I5" s="8">
        <f t="shared" si="0"/>
        <v>57750</v>
      </c>
      <c r="J5" s="5">
        <f t="shared" ca="1" si="1"/>
        <v>6</v>
      </c>
      <c r="K5" s="5">
        <v>3.2</v>
      </c>
      <c r="L5" s="6" t="s">
        <v>43</v>
      </c>
      <c r="M5" s="6" t="s">
        <v>21</v>
      </c>
      <c r="N5" s="5" t="s">
        <v>22</v>
      </c>
      <c r="O5" s="14" t="s">
        <v>23</v>
      </c>
    </row>
    <row r="6" spans="1:15" x14ac:dyDescent="0.25">
      <c r="A6" s="11">
        <v>5</v>
      </c>
      <c r="B6" s="2" t="s">
        <v>44</v>
      </c>
      <c r="C6" s="2" t="s">
        <v>45</v>
      </c>
      <c r="D6" s="2" t="s">
        <v>17</v>
      </c>
      <c r="E6" s="2" t="s">
        <v>46</v>
      </c>
      <c r="F6" s="3" t="s">
        <v>47</v>
      </c>
      <c r="G6" s="4">
        <v>78000</v>
      </c>
      <c r="H6" s="4">
        <v>5460</v>
      </c>
      <c r="I6" s="4">
        <f t="shared" si="0"/>
        <v>83460</v>
      </c>
      <c r="J6" s="1">
        <f t="shared" ca="1" si="1"/>
        <v>10</v>
      </c>
      <c r="K6" s="1">
        <v>4.7</v>
      </c>
      <c r="L6" s="2" t="s">
        <v>20</v>
      </c>
      <c r="M6" s="2" t="s">
        <v>30</v>
      </c>
      <c r="N6" s="1" t="s">
        <v>22</v>
      </c>
      <c r="O6" s="13" t="s">
        <v>23</v>
      </c>
    </row>
    <row r="7" spans="1:15" x14ac:dyDescent="0.25">
      <c r="A7" s="12">
        <v>6</v>
      </c>
      <c r="B7" s="6" t="s">
        <v>48</v>
      </c>
      <c r="C7" s="6" t="s">
        <v>49</v>
      </c>
      <c r="D7" s="6" t="s">
        <v>33</v>
      </c>
      <c r="E7" s="6" t="s">
        <v>50</v>
      </c>
      <c r="F7" s="7" t="s">
        <v>51</v>
      </c>
      <c r="G7" s="8">
        <v>72000</v>
      </c>
      <c r="H7" s="8">
        <v>3600</v>
      </c>
      <c r="I7" s="8">
        <f t="shared" si="0"/>
        <v>75600</v>
      </c>
      <c r="J7" s="5">
        <f t="shared" ca="1" si="1"/>
        <v>4</v>
      </c>
      <c r="K7" s="5">
        <v>3.9</v>
      </c>
      <c r="L7" s="6" t="s">
        <v>36</v>
      </c>
      <c r="M7" s="6" t="s">
        <v>37</v>
      </c>
      <c r="N7" s="5" t="s">
        <v>22</v>
      </c>
      <c r="O7" s="14" t="s">
        <v>23</v>
      </c>
    </row>
    <row r="8" spans="1:15" x14ac:dyDescent="0.25">
      <c r="A8" s="11">
        <v>7</v>
      </c>
      <c r="B8" s="2" t="s">
        <v>52</v>
      </c>
      <c r="C8" s="2" t="s">
        <v>53</v>
      </c>
      <c r="D8" s="2" t="s">
        <v>54</v>
      </c>
      <c r="E8" s="2" t="s">
        <v>55</v>
      </c>
      <c r="F8" s="3" t="s">
        <v>56</v>
      </c>
      <c r="G8" s="4">
        <v>64000</v>
      </c>
      <c r="H8" s="4">
        <v>9600</v>
      </c>
      <c r="I8" s="4">
        <f t="shared" si="0"/>
        <v>73600</v>
      </c>
      <c r="J8" s="1">
        <f t="shared" ca="1" si="1"/>
        <v>9</v>
      </c>
      <c r="K8" s="1">
        <v>4.2</v>
      </c>
      <c r="L8" s="2" t="s">
        <v>57</v>
      </c>
      <c r="M8" s="2" t="s">
        <v>58</v>
      </c>
      <c r="N8" s="1" t="s">
        <v>22</v>
      </c>
      <c r="O8" s="13" t="s">
        <v>23</v>
      </c>
    </row>
    <row r="9" spans="1:15" x14ac:dyDescent="0.25">
      <c r="A9" s="12">
        <v>8</v>
      </c>
      <c r="B9" s="6" t="s">
        <v>59</v>
      </c>
      <c r="C9" s="6" t="s">
        <v>60</v>
      </c>
      <c r="D9" s="6" t="s">
        <v>26</v>
      </c>
      <c r="E9" s="6" t="s">
        <v>11</v>
      </c>
      <c r="F9" s="7" t="s">
        <v>61</v>
      </c>
      <c r="G9" s="8">
        <v>91000</v>
      </c>
      <c r="H9" s="8">
        <v>7280</v>
      </c>
      <c r="I9" s="8">
        <f t="shared" si="0"/>
        <v>98280</v>
      </c>
      <c r="J9" s="5">
        <f t="shared" ca="1" si="1"/>
        <v>12</v>
      </c>
      <c r="K9" s="5">
        <v>4.5999999999999996</v>
      </c>
      <c r="L9" s="6" t="s">
        <v>29</v>
      </c>
      <c r="M9" s="6" t="s">
        <v>30</v>
      </c>
      <c r="N9" s="5" t="s">
        <v>22</v>
      </c>
      <c r="O9" s="14" t="s">
        <v>23</v>
      </c>
    </row>
    <row r="10" spans="1:15" x14ac:dyDescent="0.25">
      <c r="A10" s="11">
        <v>9</v>
      </c>
      <c r="B10" s="2" t="s">
        <v>62</v>
      </c>
      <c r="C10" s="2" t="s">
        <v>63</v>
      </c>
      <c r="D10" s="2" t="s">
        <v>40</v>
      </c>
      <c r="E10" s="2" t="s">
        <v>11</v>
      </c>
      <c r="F10" s="3" t="s">
        <v>64</v>
      </c>
      <c r="G10" s="4">
        <v>88000</v>
      </c>
      <c r="H10" s="4">
        <v>6160</v>
      </c>
      <c r="I10" s="4">
        <f t="shared" si="0"/>
        <v>94160</v>
      </c>
      <c r="J10" s="1">
        <f t="shared" ca="1" si="1"/>
        <v>10</v>
      </c>
      <c r="K10" s="1">
        <v>4</v>
      </c>
      <c r="L10" s="2" t="s">
        <v>43</v>
      </c>
      <c r="M10" s="2" t="s">
        <v>21</v>
      </c>
      <c r="N10" s="1" t="s">
        <v>22</v>
      </c>
      <c r="O10" s="13" t="s">
        <v>23</v>
      </c>
    </row>
    <row r="11" spans="1:15" x14ac:dyDescent="0.25">
      <c r="A11" s="12">
        <v>10</v>
      </c>
      <c r="B11" s="6" t="s">
        <v>65</v>
      </c>
      <c r="C11" s="6" t="s">
        <v>66</v>
      </c>
      <c r="D11" s="6" t="s">
        <v>33</v>
      </c>
      <c r="E11" s="6" t="s">
        <v>34</v>
      </c>
      <c r="F11" s="7" t="s">
        <v>67</v>
      </c>
      <c r="G11" s="8">
        <v>83000</v>
      </c>
      <c r="H11" s="8">
        <v>4150</v>
      </c>
      <c r="I11" s="8">
        <f t="shared" si="0"/>
        <v>87150</v>
      </c>
      <c r="J11" s="5">
        <f t="shared" ca="1" si="1"/>
        <v>2</v>
      </c>
      <c r="K11" s="5">
        <v>3.7</v>
      </c>
      <c r="L11" s="6" t="s">
        <v>36</v>
      </c>
      <c r="M11" s="6" t="s">
        <v>37</v>
      </c>
      <c r="N11" s="5" t="s">
        <v>22</v>
      </c>
      <c r="O11" s="14" t="s">
        <v>23</v>
      </c>
    </row>
    <row r="12" spans="1:15" x14ac:dyDescent="0.25">
      <c r="A12" s="11">
        <v>11</v>
      </c>
      <c r="B12" s="2" t="s">
        <v>68</v>
      </c>
      <c r="C12" s="2" t="s">
        <v>69</v>
      </c>
      <c r="D12" s="2" t="s">
        <v>17</v>
      </c>
      <c r="E12" s="2" t="s">
        <v>18</v>
      </c>
      <c r="F12" s="3" t="s">
        <v>70</v>
      </c>
      <c r="G12" s="4">
        <v>61000</v>
      </c>
      <c r="H12" s="4">
        <v>3050</v>
      </c>
      <c r="I12" s="4">
        <f t="shared" si="0"/>
        <v>64050</v>
      </c>
      <c r="J12" s="1">
        <f t="shared" ca="1" si="1"/>
        <v>5</v>
      </c>
      <c r="K12" s="1">
        <v>3.5</v>
      </c>
      <c r="L12" s="2" t="s">
        <v>20</v>
      </c>
      <c r="M12" s="2" t="s">
        <v>21</v>
      </c>
      <c r="N12" s="1" t="s">
        <v>71</v>
      </c>
      <c r="O12" s="13" t="s">
        <v>23</v>
      </c>
    </row>
    <row r="13" spans="1:15" x14ac:dyDescent="0.25">
      <c r="A13" s="12">
        <v>12</v>
      </c>
      <c r="B13" s="6" t="s">
        <v>72</v>
      </c>
      <c r="C13" s="6" t="s">
        <v>73</v>
      </c>
      <c r="D13" s="6" t="s">
        <v>54</v>
      </c>
      <c r="E13" s="6" t="s">
        <v>55</v>
      </c>
      <c r="F13" s="7" t="s">
        <v>74</v>
      </c>
      <c r="G13" s="8">
        <v>67000</v>
      </c>
      <c r="H13" s="8">
        <v>10050</v>
      </c>
      <c r="I13" s="8">
        <f t="shared" si="0"/>
        <v>77050</v>
      </c>
      <c r="J13" s="5">
        <f t="shared" ca="1" si="1"/>
        <v>7</v>
      </c>
      <c r="K13" s="5">
        <v>4.8</v>
      </c>
      <c r="L13" s="6" t="s">
        <v>57</v>
      </c>
      <c r="M13" s="6" t="s">
        <v>58</v>
      </c>
      <c r="N13" s="5" t="s">
        <v>22</v>
      </c>
      <c r="O13" s="14" t="s">
        <v>23</v>
      </c>
    </row>
    <row r="14" spans="1:15" x14ac:dyDescent="0.25">
      <c r="A14" s="11">
        <v>13</v>
      </c>
      <c r="B14" s="2" t="s">
        <v>75</v>
      </c>
      <c r="C14" s="2" t="s">
        <v>76</v>
      </c>
      <c r="D14" s="2" t="s">
        <v>33</v>
      </c>
      <c r="E14" s="2" t="s">
        <v>77</v>
      </c>
      <c r="F14" s="3" t="s">
        <v>78</v>
      </c>
      <c r="G14" s="4">
        <v>102000</v>
      </c>
      <c r="H14" s="4">
        <v>8160</v>
      </c>
      <c r="I14" s="4">
        <f t="shared" si="0"/>
        <v>110160</v>
      </c>
      <c r="J14" s="1">
        <f t="shared" ca="1" si="1"/>
        <v>11</v>
      </c>
      <c r="K14" s="1">
        <v>4.9000000000000004</v>
      </c>
      <c r="L14" s="2" t="s">
        <v>36</v>
      </c>
      <c r="M14" s="2" t="s">
        <v>37</v>
      </c>
      <c r="N14" s="1" t="s">
        <v>22</v>
      </c>
      <c r="O14" s="13" t="s">
        <v>23</v>
      </c>
    </row>
    <row r="15" spans="1:15" x14ac:dyDescent="0.25">
      <c r="A15" s="12">
        <v>14</v>
      </c>
      <c r="B15" s="6" t="s">
        <v>79</v>
      </c>
      <c r="C15" s="6" t="s">
        <v>80</v>
      </c>
      <c r="D15" s="6" t="s">
        <v>81</v>
      </c>
      <c r="E15" s="6" t="s">
        <v>27</v>
      </c>
      <c r="F15" s="7" t="s">
        <v>82</v>
      </c>
      <c r="G15" s="8">
        <v>51000</v>
      </c>
      <c r="H15" s="8">
        <v>2040</v>
      </c>
      <c r="I15" s="8">
        <f t="shared" si="0"/>
        <v>53040</v>
      </c>
      <c r="J15" s="5">
        <f t="shared" ca="1" si="1"/>
        <v>7</v>
      </c>
      <c r="K15" s="5">
        <v>3.6</v>
      </c>
      <c r="L15" s="6" t="s">
        <v>83</v>
      </c>
      <c r="M15" s="6" t="s">
        <v>30</v>
      </c>
      <c r="N15" s="5" t="s">
        <v>22</v>
      </c>
      <c r="O15" s="14" t="s">
        <v>23</v>
      </c>
    </row>
    <row r="16" spans="1:15" x14ac:dyDescent="0.25">
      <c r="A16" s="11">
        <v>15</v>
      </c>
      <c r="B16" s="2" t="s">
        <v>84</v>
      </c>
      <c r="C16" s="2" t="s">
        <v>85</v>
      </c>
      <c r="D16" s="2" t="s">
        <v>40</v>
      </c>
      <c r="E16" s="2" t="s">
        <v>41</v>
      </c>
      <c r="F16" s="3" t="s">
        <v>86</v>
      </c>
      <c r="G16" s="4">
        <v>54000</v>
      </c>
      <c r="H16" s="4">
        <v>2160</v>
      </c>
      <c r="I16" s="4">
        <f t="shared" si="0"/>
        <v>56160</v>
      </c>
      <c r="J16" s="1">
        <f t="shared" ca="1" si="1"/>
        <v>4</v>
      </c>
      <c r="K16" s="1">
        <v>3.3</v>
      </c>
      <c r="L16" s="2" t="s">
        <v>43</v>
      </c>
      <c r="M16" s="2" t="s">
        <v>58</v>
      </c>
      <c r="N16" s="1" t="s">
        <v>71</v>
      </c>
      <c r="O16" s="13" t="s">
        <v>23</v>
      </c>
    </row>
    <row r="17" spans="1:15" x14ac:dyDescent="0.25">
      <c r="A17" s="12">
        <v>16</v>
      </c>
      <c r="B17" s="6" t="s">
        <v>87</v>
      </c>
      <c r="C17" s="6" t="s">
        <v>88</v>
      </c>
      <c r="D17" s="6" t="s">
        <v>17</v>
      </c>
      <c r="E17" s="6" t="s">
        <v>11</v>
      </c>
      <c r="F17" s="7" t="s">
        <v>89</v>
      </c>
      <c r="G17" s="8">
        <v>115000</v>
      </c>
      <c r="H17" s="8">
        <v>11500</v>
      </c>
      <c r="I17" s="8">
        <f t="shared" si="0"/>
        <v>126500</v>
      </c>
      <c r="J17" s="5">
        <f t="shared" ca="1" si="1"/>
        <v>13</v>
      </c>
      <c r="K17" s="5">
        <v>4.7</v>
      </c>
      <c r="L17" s="6" t="s">
        <v>20</v>
      </c>
      <c r="M17" s="6" t="s">
        <v>30</v>
      </c>
      <c r="N17" s="5" t="s">
        <v>22</v>
      </c>
      <c r="O17" s="14" t="s">
        <v>23</v>
      </c>
    </row>
    <row r="18" spans="1:15" x14ac:dyDescent="0.25">
      <c r="A18" s="11">
        <v>17</v>
      </c>
      <c r="B18" s="2" t="s">
        <v>90</v>
      </c>
      <c r="C18" s="2" t="s">
        <v>91</v>
      </c>
      <c r="D18" s="2" t="s">
        <v>54</v>
      </c>
      <c r="E18" s="2" t="s">
        <v>92</v>
      </c>
      <c r="F18" s="3" t="s">
        <v>93</v>
      </c>
      <c r="G18" s="4">
        <v>145000</v>
      </c>
      <c r="H18" s="4">
        <v>21750</v>
      </c>
      <c r="I18" s="4">
        <f t="shared" si="0"/>
        <v>166750</v>
      </c>
      <c r="J18" s="1">
        <f t="shared" ca="1" si="1"/>
        <v>16</v>
      </c>
      <c r="K18" s="1">
        <v>4.5999999999999996</v>
      </c>
      <c r="L18" s="2" t="s">
        <v>57</v>
      </c>
      <c r="M18" s="2" t="s">
        <v>58</v>
      </c>
      <c r="N18" s="1" t="s">
        <v>22</v>
      </c>
      <c r="O18" s="13" t="s">
        <v>23</v>
      </c>
    </row>
    <row r="19" spans="1:15" x14ac:dyDescent="0.25">
      <c r="A19" s="12">
        <v>18</v>
      </c>
      <c r="B19" s="6" t="s">
        <v>94</v>
      </c>
      <c r="C19" s="6" t="s">
        <v>95</v>
      </c>
      <c r="D19" s="6" t="s">
        <v>26</v>
      </c>
      <c r="E19" s="6" t="s">
        <v>41</v>
      </c>
      <c r="F19" s="7" t="s">
        <v>96</v>
      </c>
      <c r="G19" s="8">
        <v>46000</v>
      </c>
      <c r="H19" s="8">
        <v>1840</v>
      </c>
      <c r="I19" s="8">
        <f t="shared" si="0"/>
        <v>47840</v>
      </c>
      <c r="J19" s="5">
        <f t="shared" ca="1" si="1"/>
        <v>3</v>
      </c>
      <c r="K19" s="5">
        <v>3.8</v>
      </c>
      <c r="L19" s="6" t="s">
        <v>29</v>
      </c>
      <c r="M19" s="6" t="s">
        <v>21</v>
      </c>
      <c r="N19" s="5" t="s">
        <v>22</v>
      </c>
      <c r="O19" s="14" t="s">
        <v>23</v>
      </c>
    </row>
    <row r="20" spans="1:15" x14ac:dyDescent="0.25">
      <c r="A20" s="11">
        <v>19</v>
      </c>
      <c r="B20" s="2" t="s">
        <v>97</v>
      </c>
      <c r="C20" s="2" t="s">
        <v>98</v>
      </c>
      <c r="D20" s="2" t="s">
        <v>33</v>
      </c>
      <c r="E20" s="2" t="s">
        <v>99</v>
      </c>
      <c r="F20" s="3" t="s">
        <v>100</v>
      </c>
      <c r="G20" s="4">
        <v>128000</v>
      </c>
      <c r="H20" s="4">
        <v>12800</v>
      </c>
      <c r="I20" s="4">
        <f t="shared" si="0"/>
        <v>140800</v>
      </c>
      <c r="J20" s="1">
        <f t="shared" ca="1" si="1"/>
        <v>15</v>
      </c>
      <c r="K20" s="1">
        <v>4.8</v>
      </c>
      <c r="L20" s="2" t="s">
        <v>36</v>
      </c>
      <c r="M20" s="2" t="s">
        <v>37</v>
      </c>
      <c r="N20" s="1" t="s">
        <v>22</v>
      </c>
      <c r="O20" s="13" t="s">
        <v>23</v>
      </c>
    </row>
    <row r="21" spans="1:15" x14ac:dyDescent="0.25">
      <c r="A21" s="12">
        <v>20</v>
      </c>
      <c r="B21" s="6" t="s">
        <v>101</v>
      </c>
      <c r="C21" s="6" t="s">
        <v>102</v>
      </c>
      <c r="D21" s="6" t="s">
        <v>81</v>
      </c>
      <c r="E21" s="6" t="s">
        <v>11</v>
      </c>
      <c r="F21" s="7" t="s">
        <v>103</v>
      </c>
      <c r="G21" s="8">
        <v>94000</v>
      </c>
      <c r="H21" s="8">
        <v>7520</v>
      </c>
      <c r="I21" s="8">
        <f t="shared" si="0"/>
        <v>101520</v>
      </c>
      <c r="J21" s="5">
        <f t="shared" ca="1" si="1"/>
        <v>9</v>
      </c>
      <c r="K21" s="5">
        <v>4.4000000000000004</v>
      </c>
      <c r="L21" s="6" t="s">
        <v>83</v>
      </c>
      <c r="M21" s="6" t="s">
        <v>30</v>
      </c>
      <c r="N21" s="5" t="s">
        <v>22</v>
      </c>
      <c r="O21" s="14" t="s">
        <v>23</v>
      </c>
    </row>
    <row r="22" spans="1:15" x14ac:dyDescent="0.25">
      <c r="A22" s="11">
        <v>21</v>
      </c>
      <c r="B22" s="2" t="s">
        <v>104</v>
      </c>
      <c r="C22" s="2" t="s">
        <v>105</v>
      </c>
      <c r="D22" s="2" t="s">
        <v>17</v>
      </c>
      <c r="E22" s="2" t="s">
        <v>18</v>
      </c>
      <c r="F22" s="3" t="s">
        <v>106</v>
      </c>
      <c r="G22" s="4">
        <v>59000</v>
      </c>
      <c r="H22" s="4">
        <v>2950</v>
      </c>
      <c r="I22" s="4">
        <f t="shared" si="0"/>
        <v>61950</v>
      </c>
      <c r="J22" s="1">
        <f t="shared" ca="1" si="1"/>
        <v>3</v>
      </c>
      <c r="K22" s="1">
        <v>3.1</v>
      </c>
      <c r="L22" s="2" t="s">
        <v>20</v>
      </c>
      <c r="M22" s="2" t="s">
        <v>21</v>
      </c>
      <c r="N22" s="1" t="s">
        <v>22</v>
      </c>
      <c r="O22" s="13" t="s">
        <v>23</v>
      </c>
    </row>
    <row r="23" spans="1:15" x14ac:dyDescent="0.25">
      <c r="A23" s="12">
        <v>22</v>
      </c>
      <c r="B23" s="6" t="s">
        <v>107</v>
      </c>
      <c r="C23" s="6" t="s">
        <v>108</v>
      </c>
      <c r="D23" s="6" t="s">
        <v>40</v>
      </c>
      <c r="E23" s="6" t="s">
        <v>92</v>
      </c>
      <c r="F23" s="7" t="s">
        <v>109</v>
      </c>
      <c r="G23" s="8">
        <v>138000</v>
      </c>
      <c r="H23" s="8">
        <v>13800</v>
      </c>
      <c r="I23" s="8">
        <f t="shared" si="0"/>
        <v>151800</v>
      </c>
      <c r="J23" s="5">
        <f t="shared" ca="1" si="1"/>
        <v>16</v>
      </c>
      <c r="K23" s="5">
        <v>4.5</v>
      </c>
      <c r="L23" s="6" t="s">
        <v>43</v>
      </c>
      <c r="M23" s="6" t="s">
        <v>58</v>
      </c>
      <c r="N23" s="5" t="s">
        <v>22</v>
      </c>
      <c r="O23" s="14" t="s">
        <v>23</v>
      </c>
    </row>
    <row r="24" spans="1:15" x14ac:dyDescent="0.25">
      <c r="A24" s="11">
        <v>23</v>
      </c>
      <c r="B24" s="2" t="s">
        <v>110</v>
      </c>
      <c r="C24" s="2" t="s">
        <v>111</v>
      </c>
      <c r="D24" s="2" t="s">
        <v>33</v>
      </c>
      <c r="E24" s="2" t="s">
        <v>34</v>
      </c>
      <c r="F24" s="3" t="s">
        <v>112</v>
      </c>
      <c r="G24" s="4">
        <v>85000</v>
      </c>
      <c r="H24" s="4">
        <v>4250</v>
      </c>
      <c r="I24" s="4">
        <f t="shared" si="0"/>
        <v>89250</v>
      </c>
      <c r="J24" s="1">
        <f t="shared" ca="1" si="1"/>
        <v>5</v>
      </c>
      <c r="K24" s="1">
        <v>4</v>
      </c>
      <c r="L24" s="2" t="s">
        <v>36</v>
      </c>
      <c r="M24" s="2" t="s">
        <v>37</v>
      </c>
      <c r="N24" s="1" t="s">
        <v>22</v>
      </c>
      <c r="O24" s="13" t="s">
        <v>23</v>
      </c>
    </row>
    <row r="25" spans="1:15" x14ac:dyDescent="0.25">
      <c r="A25" s="12">
        <v>24</v>
      </c>
      <c r="B25" s="6" t="s">
        <v>113</v>
      </c>
      <c r="C25" s="6" t="s">
        <v>114</v>
      </c>
      <c r="D25" s="6" t="s">
        <v>54</v>
      </c>
      <c r="E25" s="6" t="s">
        <v>55</v>
      </c>
      <c r="F25" s="7" t="s">
        <v>115</v>
      </c>
      <c r="G25" s="8">
        <v>66000</v>
      </c>
      <c r="H25" s="8">
        <v>9900</v>
      </c>
      <c r="I25" s="8">
        <f t="shared" si="0"/>
        <v>75900</v>
      </c>
      <c r="J25" s="5">
        <f t="shared" ca="1" si="1"/>
        <v>7</v>
      </c>
      <c r="K25" s="5">
        <v>4.3</v>
      </c>
      <c r="L25" s="6" t="s">
        <v>57</v>
      </c>
      <c r="M25" s="6" t="s">
        <v>30</v>
      </c>
      <c r="N25" s="5" t="s">
        <v>22</v>
      </c>
      <c r="O25" s="14" t="s">
        <v>23</v>
      </c>
    </row>
    <row r="26" spans="1:15" x14ac:dyDescent="0.25">
      <c r="A26" s="11">
        <v>25</v>
      </c>
      <c r="B26" s="2" t="s">
        <v>116</v>
      </c>
      <c r="C26" s="2" t="s">
        <v>117</v>
      </c>
      <c r="D26" s="2" t="s">
        <v>81</v>
      </c>
      <c r="E26" s="2" t="s">
        <v>18</v>
      </c>
      <c r="F26" s="3" t="s">
        <v>118</v>
      </c>
      <c r="G26" s="4">
        <v>52000</v>
      </c>
      <c r="H26" s="4">
        <v>2080</v>
      </c>
      <c r="I26" s="4">
        <f t="shared" si="0"/>
        <v>54080</v>
      </c>
      <c r="J26" s="1">
        <f t="shared" ca="1" si="1"/>
        <v>5</v>
      </c>
      <c r="K26" s="1">
        <v>3.4</v>
      </c>
      <c r="L26" s="2" t="s">
        <v>83</v>
      </c>
      <c r="M26" s="2" t="s">
        <v>21</v>
      </c>
      <c r="N26" s="1" t="s">
        <v>71</v>
      </c>
      <c r="O26" s="13" t="s">
        <v>23</v>
      </c>
    </row>
    <row r="27" spans="1:15" x14ac:dyDescent="0.25">
      <c r="A27" s="12">
        <v>26</v>
      </c>
      <c r="B27" s="6" t="s">
        <v>119</v>
      </c>
      <c r="C27" s="6" t="s">
        <v>120</v>
      </c>
      <c r="D27" s="6" t="s">
        <v>26</v>
      </c>
      <c r="E27" s="6" t="s">
        <v>92</v>
      </c>
      <c r="F27" s="7" t="s">
        <v>121</v>
      </c>
      <c r="G27" s="8">
        <v>122000</v>
      </c>
      <c r="H27" s="8">
        <v>12200</v>
      </c>
      <c r="I27" s="8">
        <f t="shared" si="0"/>
        <v>134200</v>
      </c>
      <c r="J27" s="5">
        <f t="shared" ca="1" si="1"/>
        <v>17</v>
      </c>
      <c r="K27" s="5">
        <v>4.7</v>
      </c>
      <c r="L27" s="6" t="s">
        <v>29</v>
      </c>
      <c r="M27" s="6" t="s">
        <v>30</v>
      </c>
      <c r="N27" s="5" t="s">
        <v>22</v>
      </c>
      <c r="O27" s="14" t="s">
        <v>23</v>
      </c>
    </row>
    <row r="28" spans="1:15" x14ac:dyDescent="0.25">
      <c r="A28" s="11">
        <v>27</v>
      </c>
      <c r="B28" s="2" t="s">
        <v>122</v>
      </c>
      <c r="C28" s="2" t="s">
        <v>123</v>
      </c>
      <c r="D28" s="2" t="s">
        <v>33</v>
      </c>
      <c r="E28" s="2" t="s">
        <v>34</v>
      </c>
      <c r="F28" s="3" t="s">
        <v>124</v>
      </c>
      <c r="G28" s="4">
        <v>81000</v>
      </c>
      <c r="H28" s="4">
        <v>4050</v>
      </c>
      <c r="I28" s="4">
        <f t="shared" si="0"/>
        <v>85050</v>
      </c>
      <c r="J28" s="1">
        <f t="shared" ca="1" si="1"/>
        <v>3</v>
      </c>
      <c r="K28" s="1">
        <v>3.9</v>
      </c>
      <c r="L28" s="2" t="s">
        <v>36</v>
      </c>
      <c r="M28" s="2" t="s">
        <v>37</v>
      </c>
      <c r="N28" s="1" t="s">
        <v>22</v>
      </c>
      <c r="O28" s="13" t="s">
        <v>23</v>
      </c>
    </row>
    <row r="29" spans="1:15" x14ac:dyDescent="0.25">
      <c r="A29" s="12">
        <v>28</v>
      </c>
      <c r="B29" s="6" t="s">
        <v>125</v>
      </c>
      <c r="C29" s="6" t="s">
        <v>126</v>
      </c>
      <c r="D29" s="6" t="s">
        <v>17</v>
      </c>
      <c r="E29" s="6" t="s">
        <v>46</v>
      </c>
      <c r="F29" s="7" t="s">
        <v>127</v>
      </c>
      <c r="G29" s="8">
        <v>82000</v>
      </c>
      <c r="H29" s="8">
        <v>5740</v>
      </c>
      <c r="I29" s="8">
        <f t="shared" si="0"/>
        <v>87740</v>
      </c>
      <c r="J29" s="5">
        <f t="shared" ca="1" si="1"/>
        <v>11</v>
      </c>
      <c r="K29" s="5">
        <v>4.4000000000000004</v>
      </c>
      <c r="L29" s="6" t="s">
        <v>20</v>
      </c>
      <c r="M29" s="6" t="s">
        <v>21</v>
      </c>
      <c r="N29" s="5" t="s">
        <v>22</v>
      </c>
      <c r="O29" s="14" t="s">
        <v>23</v>
      </c>
    </row>
    <row r="30" spans="1:15" x14ac:dyDescent="0.25">
      <c r="A30" s="11">
        <v>29</v>
      </c>
      <c r="B30" s="2" t="s">
        <v>128</v>
      </c>
      <c r="C30" s="2" t="s">
        <v>129</v>
      </c>
      <c r="D30" s="2" t="s">
        <v>40</v>
      </c>
      <c r="E30" s="2" t="s">
        <v>41</v>
      </c>
      <c r="F30" s="3" t="s">
        <v>130</v>
      </c>
      <c r="G30" s="4">
        <v>53000</v>
      </c>
      <c r="H30" s="4">
        <v>2120</v>
      </c>
      <c r="I30" s="4">
        <f t="shared" si="0"/>
        <v>55120</v>
      </c>
      <c r="J30" s="1">
        <f t="shared" ca="1" si="1"/>
        <v>2</v>
      </c>
      <c r="K30" s="1">
        <v>3.2</v>
      </c>
      <c r="L30" s="2" t="s">
        <v>43</v>
      </c>
      <c r="M30" s="2" t="s">
        <v>30</v>
      </c>
      <c r="N30" s="1" t="s">
        <v>22</v>
      </c>
      <c r="O30" s="13" t="s">
        <v>23</v>
      </c>
    </row>
    <row r="31" spans="1:15" x14ac:dyDescent="0.25">
      <c r="A31" s="12">
        <v>30</v>
      </c>
      <c r="B31" s="6" t="s">
        <v>131</v>
      </c>
      <c r="C31" s="6" t="s">
        <v>132</v>
      </c>
      <c r="D31" s="6" t="s">
        <v>54</v>
      </c>
      <c r="E31" s="6" t="s">
        <v>55</v>
      </c>
      <c r="F31" s="7" t="s">
        <v>133</v>
      </c>
      <c r="G31" s="8">
        <v>63000</v>
      </c>
      <c r="H31" s="8">
        <v>9450</v>
      </c>
      <c r="I31" s="8">
        <f t="shared" si="0"/>
        <v>72450</v>
      </c>
      <c r="J31" s="5">
        <f t="shared" ca="1" si="1"/>
        <v>9</v>
      </c>
      <c r="K31" s="5">
        <v>4.0999999999999996</v>
      </c>
      <c r="L31" s="6" t="s">
        <v>57</v>
      </c>
      <c r="M31" s="6" t="s">
        <v>58</v>
      </c>
      <c r="N31" s="5" t="s">
        <v>22</v>
      </c>
      <c r="O31" s="14" t="s">
        <v>23</v>
      </c>
    </row>
    <row r="32" spans="1:15" x14ac:dyDescent="0.25">
      <c r="A32" s="11">
        <v>31</v>
      </c>
      <c r="B32" s="2" t="s">
        <v>134</v>
      </c>
      <c r="C32" s="2" t="s">
        <v>135</v>
      </c>
      <c r="D32" s="2" t="s">
        <v>81</v>
      </c>
      <c r="E32" s="2" t="s">
        <v>41</v>
      </c>
      <c r="F32" s="3" t="s">
        <v>136</v>
      </c>
      <c r="G32" s="4">
        <v>56000</v>
      </c>
      <c r="H32" s="4">
        <v>2800</v>
      </c>
      <c r="I32" s="4">
        <f t="shared" si="0"/>
        <v>58800</v>
      </c>
      <c r="J32" s="1">
        <f t="shared" ca="1" si="1"/>
        <v>7</v>
      </c>
      <c r="K32" s="1">
        <v>3.7</v>
      </c>
      <c r="L32" s="2" t="s">
        <v>83</v>
      </c>
      <c r="M32" s="2" t="s">
        <v>21</v>
      </c>
      <c r="N32" s="1" t="s">
        <v>22</v>
      </c>
      <c r="O32" s="13" t="s">
        <v>23</v>
      </c>
    </row>
    <row r="33" spans="1:15" x14ac:dyDescent="0.25">
      <c r="A33" s="12">
        <v>32</v>
      </c>
      <c r="B33" s="6" t="s">
        <v>137</v>
      </c>
      <c r="C33" s="6" t="s">
        <v>102</v>
      </c>
      <c r="D33" s="6" t="s">
        <v>17</v>
      </c>
      <c r="E33" s="6" t="s">
        <v>18</v>
      </c>
      <c r="F33" s="7" t="s">
        <v>138</v>
      </c>
      <c r="G33" s="8">
        <v>60000</v>
      </c>
      <c r="H33" s="8">
        <v>3000</v>
      </c>
      <c r="I33" s="8">
        <f t="shared" si="0"/>
        <v>63000</v>
      </c>
      <c r="J33" s="5">
        <f t="shared" ca="1" si="1"/>
        <v>5</v>
      </c>
      <c r="K33" s="5">
        <v>3.6</v>
      </c>
      <c r="L33" s="6" t="s">
        <v>20</v>
      </c>
      <c r="M33" s="6" t="s">
        <v>30</v>
      </c>
      <c r="N33" s="5" t="s">
        <v>71</v>
      </c>
      <c r="O33" s="14" t="s">
        <v>139</v>
      </c>
    </row>
    <row r="34" spans="1:15" x14ac:dyDescent="0.25">
      <c r="A34" s="11">
        <v>33</v>
      </c>
      <c r="B34" s="2" t="s">
        <v>140</v>
      </c>
      <c r="C34" s="2" t="s">
        <v>141</v>
      </c>
      <c r="D34" s="2" t="s">
        <v>33</v>
      </c>
      <c r="E34" s="2" t="s">
        <v>142</v>
      </c>
      <c r="F34" s="3" t="s">
        <v>143</v>
      </c>
      <c r="G34" s="4">
        <v>76000</v>
      </c>
      <c r="H34" s="4">
        <v>3800</v>
      </c>
      <c r="I34" s="4">
        <f t="shared" si="0"/>
        <v>79800</v>
      </c>
      <c r="J34" s="1">
        <f t="shared" ca="1" si="1"/>
        <v>9</v>
      </c>
      <c r="K34" s="1">
        <v>4.2</v>
      </c>
      <c r="L34" s="2" t="s">
        <v>36</v>
      </c>
      <c r="M34" s="2" t="s">
        <v>37</v>
      </c>
      <c r="N34" s="1" t="s">
        <v>22</v>
      </c>
      <c r="O34" s="13" t="s">
        <v>23</v>
      </c>
    </row>
    <row r="35" spans="1:15" x14ac:dyDescent="0.25">
      <c r="A35" s="12">
        <v>34</v>
      </c>
      <c r="B35" s="6" t="s">
        <v>144</v>
      </c>
      <c r="C35" s="6" t="s">
        <v>145</v>
      </c>
      <c r="D35" s="6" t="s">
        <v>26</v>
      </c>
      <c r="E35" s="6" t="s">
        <v>27</v>
      </c>
      <c r="F35" s="7" t="s">
        <v>146</v>
      </c>
      <c r="G35" s="8">
        <v>47000</v>
      </c>
      <c r="H35" s="8">
        <v>1880</v>
      </c>
      <c r="I35" s="8">
        <f t="shared" si="0"/>
        <v>48880</v>
      </c>
      <c r="J35" s="5">
        <f t="shared" ca="1" si="1"/>
        <v>4</v>
      </c>
      <c r="K35" s="5">
        <v>3.5</v>
      </c>
      <c r="L35" s="6" t="s">
        <v>29</v>
      </c>
      <c r="M35" s="6" t="s">
        <v>58</v>
      </c>
      <c r="N35" s="5" t="s">
        <v>22</v>
      </c>
      <c r="O35" s="14" t="s">
        <v>23</v>
      </c>
    </row>
    <row r="36" spans="1:15" x14ac:dyDescent="0.25">
      <c r="A36" s="11">
        <v>35</v>
      </c>
      <c r="B36" s="2" t="s">
        <v>147</v>
      </c>
      <c r="C36" s="2" t="s">
        <v>148</v>
      </c>
      <c r="D36" s="2" t="s">
        <v>40</v>
      </c>
      <c r="E36" s="2" t="s">
        <v>11</v>
      </c>
      <c r="F36" s="3" t="s">
        <v>149</v>
      </c>
      <c r="G36" s="4">
        <v>92000</v>
      </c>
      <c r="H36" s="4">
        <v>7360</v>
      </c>
      <c r="I36" s="4">
        <f t="shared" si="0"/>
        <v>99360</v>
      </c>
      <c r="J36" s="1">
        <f t="shared" ca="1" si="1"/>
        <v>12</v>
      </c>
      <c r="K36" s="1">
        <v>4.5999999999999996</v>
      </c>
      <c r="L36" s="2" t="s">
        <v>43</v>
      </c>
      <c r="M36" s="2" t="s">
        <v>21</v>
      </c>
      <c r="N36" s="1" t="s">
        <v>22</v>
      </c>
      <c r="O36" s="13" t="s">
        <v>23</v>
      </c>
    </row>
    <row r="37" spans="1:15" x14ac:dyDescent="0.25">
      <c r="A37" s="12">
        <v>36</v>
      </c>
      <c r="B37" s="6" t="s">
        <v>150</v>
      </c>
      <c r="C37" s="6" t="s">
        <v>151</v>
      </c>
      <c r="D37" s="6" t="s">
        <v>54</v>
      </c>
      <c r="E37" s="6" t="s">
        <v>152</v>
      </c>
      <c r="F37" s="7" t="s">
        <v>153</v>
      </c>
      <c r="G37" s="8">
        <v>89000</v>
      </c>
      <c r="H37" s="8">
        <v>13350</v>
      </c>
      <c r="I37" s="8">
        <f t="shared" si="0"/>
        <v>102350</v>
      </c>
      <c r="J37" s="5">
        <f t="shared" ca="1" si="1"/>
        <v>14</v>
      </c>
      <c r="K37" s="5">
        <v>4.5</v>
      </c>
      <c r="L37" s="6" t="s">
        <v>57</v>
      </c>
      <c r="M37" s="6" t="s">
        <v>30</v>
      </c>
      <c r="N37" s="5" t="s">
        <v>22</v>
      </c>
      <c r="O37" s="14" t="s">
        <v>23</v>
      </c>
    </row>
    <row r="38" spans="1:15" x14ac:dyDescent="0.25">
      <c r="A38" s="11">
        <v>37</v>
      </c>
      <c r="B38" s="2" t="s">
        <v>154</v>
      </c>
      <c r="C38" s="2" t="s">
        <v>155</v>
      </c>
      <c r="D38" s="2" t="s">
        <v>81</v>
      </c>
      <c r="E38" s="2" t="s">
        <v>92</v>
      </c>
      <c r="F38" s="3" t="s">
        <v>156</v>
      </c>
      <c r="G38" s="4">
        <v>134000</v>
      </c>
      <c r="H38" s="4">
        <v>13400</v>
      </c>
      <c r="I38" s="4">
        <f t="shared" si="0"/>
        <v>147400</v>
      </c>
      <c r="J38" s="1">
        <f t="shared" ca="1" si="1"/>
        <v>19</v>
      </c>
      <c r="K38" s="1">
        <v>4.8</v>
      </c>
      <c r="L38" s="2" t="s">
        <v>83</v>
      </c>
      <c r="M38" s="2" t="s">
        <v>21</v>
      </c>
      <c r="N38" s="1" t="s">
        <v>22</v>
      </c>
      <c r="O38" s="13" t="s">
        <v>23</v>
      </c>
    </row>
    <row r="39" spans="1:15" x14ac:dyDescent="0.25">
      <c r="A39" s="12">
        <v>38</v>
      </c>
      <c r="B39" s="6" t="s">
        <v>157</v>
      </c>
      <c r="C39" s="6" t="s">
        <v>158</v>
      </c>
      <c r="D39" s="6" t="s">
        <v>33</v>
      </c>
      <c r="E39" s="6" t="s">
        <v>34</v>
      </c>
      <c r="F39" s="7" t="s">
        <v>159</v>
      </c>
      <c r="G39" s="8">
        <v>84000</v>
      </c>
      <c r="H39" s="8">
        <v>4200</v>
      </c>
      <c r="I39" s="8">
        <f t="shared" si="0"/>
        <v>88200</v>
      </c>
      <c r="J39" s="5">
        <f t="shared" ca="1" si="1"/>
        <v>5</v>
      </c>
      <c r="K39" s="5">
        <v>4</v>
      </c>
      <c r="L39" s="6" t="s">
        <v>36</v>
      </c>
      <c r="M39" s="6" t="s">
        <v>37</v>
      </c>
      <c r="N39" s="5" t="s">
        <v>22</v>
      </c>
      <c r="O39" s="14" t="s">
        <v>23</v>
      </c>
    </row>
    <row r="40" spans="1:15" x14ac:dyDescent="0.25">
      <c r="A40" s="11">
        <v>39</v>
      </c>
      <c r="B40" s="2" t="s">
        <v>160</v>
      </c>
      <c r="C40" s="2" t="s">
        <v>161</v>
      </c>
      <c r="D40" s="2" t="s">
        <v>17</v>
      </c>
      <c r="E40" s="2" t="s">
        <v>162</v>
      </c>
      <c r="F40" s="3" t="s">
        <v>163</v>
      </c>
      <c r="G40" s="4">
        <v>108000</v>
      </c>
      <c r="H40" s="4">
        <v>8640</v>
      </c>
      <c r="I40" s="4">
        <f t="shared" si="0"/>
        <v>116640</v>
      </c>
      <c r="J40" s="1">
        <f t="shared" ca="1" si="1"/>
        <v>11</v>
      </c>
      <c r="K40" s="1">
        <v>4.5999999999999996</v>
      </c>
      <c r="L40" s="2" t="s">
        <v>20</v>
      </c>
      <c r="M40" s="2" t="s">
        <v>30</v>
      </c>
      <c r="N40" s="1" t="s">
        <v>22</v>
      </c>
      <c r="O40" s="13" t="s">
        <v>23</v>
      </c>
    </row>
    <row r="41" spans="1:15" x14ac:dyDescent="0.25">
      <c r="A41" s="12">
        <v>40</v>
      </c>
      <c r="B41" s="6" t="s">
        <v>164</v>
      </c>
      <c r="C41" s="6" t="s">
        <v>165</v>
      </c>
      <c r="D41" s="6" t="s">
        <v>26</v>
      </c>
      <c r="E41" s="6" t="s">
        <v>11</v>
      </c>
      <c r="F41" s="7" t="s">
        <v>166</v>
      </c>
      <c r="G41" s="8">
        <v>90000</v>
      </c>
      <c r="H41" s="8">
        <v>7200</v>
      </c>
      <c r="I41" s="8">
        <f t="shared" si="0"/>
        <v>97200</v>
      </c>
      <c r="J41" s="5">
        <f t="shared" ca="1" si="1"/>
        <v>6</v>
      </c>
      <c r="K41" s="5">
        <v>4.3</v>
      </c>
      <c r="L41" s="6" t="s">
        <v>29</v>
      </c>
      <c r="M41" s="6" t="s">
        <v>21</v>
      </c>
      <c r="N41" s="5" t="s">
        <v>22</v>
      </c>
      <c r="O41" s="14" t="s">
        <v>23</v>
      </c>
    </row>
    <row r="42" spans="1:15" x14ac:dyDescent="0.25">
      <c r="A42" s="11">
        <v>41</v>
      </c>
      <c r="B42" s="2" t="s">
        <v>167</v>
      </c>
      <c r="C42" s="2" t="s">
        <v>168</v>
      </c>
      <c r="D42" s="2" t="s">
        <v>40</v>
      </c>
      <c r="E42" s="2" t="s">
        <v>41</v>
      </c>
      <c r="F42" s="3" t="s">
        <v>169</v>
      </c>
      <c r="G42" s="4">
        <v>52000</v>
      </c>
      <c r="H42" s="4">
        <v>2080</v>
      </c>
      <c r="I42" s="4">
        <f t="shared" si="0"/>
        <v>54080</v>
      </c>
      <c r="J42" s="1">
        <f t="shared" ca="1" si="1"/>
        <v>3</v>
      </c>
      <c r="K42" s="1">
        <v>3</v>
      </c>
      <c r="L42" s="2" t="s">
        <v>43</v>
      </c>
      <c r="M42" s="2" t="s">
        <v>58</v>
      </c>
      <c r="N42" s="1" t="s">
        <v>71</v>
      </c>
      <c r="O42" s="13" t="s">
        <v>23</v>
      </c>
    </row>
    <row r="43" spans="1:15" x14ac:dyDescent="0.25">
      <c r="A43" s="12">
        <v>42</v>
      </c>
      <c r="B43" s="6" t="s">
        <v>170</v>
      </c>
      <c r="C43" s="6" t="s">
        <v>171</v>
      </c>
      <c r="D43" s="6" t="s">
        <v>54</v>
      </c>
      <c r="E43" s="6" t="s">
        <v>55</v>
      </c>
      <c r="F43" s="7" t="s">
        <v>172</v>
      </c>
      <c r="G43" s="8">
        <v>65000</v>
      </c>
      <c r="H43" s="8">
        <v>9750</v>
      </c>
      <c r="I43" s="8">
        <f t="shared" si="0"/>
        <v>74750</v>
      </c>
      <c r="J43" s="5">
        <f t="shared" ca="1" si="1"/>
        <v>7</v>
      </c>
      <c r="K43" s="5">
        <v>4.2</v>
      </c>
      <c r="L43" s="6" t="s">
        <v>57</v>
      </c>
      <c r="M43" s="6" t="s">
        <v>37</v>
      </c>
      <c r="N43" s="5" t="s">
        <v>22</v>
      </c>
      <c r="O43" s="14" t="s">
        <v>23</v>
      </c>
    </row>
    <row r="44" spans="1:15" x14ac:dyDescent="0.25">
      <c r="A44" s="11">
        <v>43</v>
      </c>
      <c r="B44" s="2" t="s">
        <v>173</v>
      </c>
      <c r="C44" s="2" t="s">
        <v>174</v>
      </c>
      <c r="D44" s="2" t="s">
        <v>33</v>
      </c>
      <c r="E44" s="2" t="s">
        <v>77</v>
      </c>
      <c r="F44" s="3" t="s">
        <v>175</v>
      </c>
      <c r="G44" s="4">
        <v>105000</v>
      </c>
      <c r="H44" s="4">
        <v>8400</v>
      </c>
      <c r="I44" s="4">
        <f t="shared" si="0"/>
        <v>113400</v>
      </c>
      <c r="J44" s="1">
        <f t="shared" ca="1" si="1"/>
        <v>14</v>
      </c>
      <c r="K44" s="1">
        <v>4.7</v>
      </c>
      <c r="L44" s="2" t="s">
        <v>36</v>
      </c>
      <c r="M44" s="2" t="s">
        <v>30</v>
      </c>
      <c r="N44" s="1" t="s">
        <v>22</v>
      </c>
      <c r="O44" s="13" t="s">
        <v>23</v>
      </c>
    </row>
    <row r="45" spans="1:15" x14ac:dyDescent="0.25">
      <c r="A45" s="12">
        <v>44</v>
      </c>
      <c r="B45" s="6" t="s">
        <v>176</v>
      </c>
      <c r="C45" s="6" t="s">
        <v>177</v>
      </c>
      <c r="D45" s="6" t="s">
        <v>81</v>
      </c>
      <c r="E45" s="6" t="s">
        <v>27</v>
      </c>
      <c r="F45" s="7" t="s">
        <v>178</v>
      </c>
      <c r="G45" s="8">
        <v>50000</v>
      </c>
      <c r="H45" s="8">
        <v>2000</v>
      </c>
      <c r="I45" s="8">
        <f t="shared" si="0"/>
        <v>52000</v>
      </c>
      <c r="J45" s="5">
        <f t="shared" ca="1" si="1"/>
        <v>6</v>
      </c>
      <c r="K45" s="5">
        <v>3.5</v>
      </c>
      <c r="L45" s="6" t="s">
        <v>83</v>
      </c>
      <c r="M45" s="6" t="s">
        <v>21</v>
      </c>
      <c r="N45" s="5" t="s">
        <v>22</v>
      </c>
      <c r="O45" s="14" t="s">
        <v>23</v>
      </c>
    </row>
    <row r="46" spans="1:15" x14ac:dyDescent="0.25">
      <c r="A46" s="11">
        <v>45</v>
      </c>
      <c r="B46" s="2" t="s">
        <v>179</v>
      </c>
      <c r="C46" s="2" t="s">
        <v>180</v>
      </c>
      <c r="D46" s="2" t="s">
        <v>17</v>
      </c>
      <c r="E46" s="2" t="s">
        <v>18</v>
      </c>
      <c r="F46" s="3" t="s">
        <v>181</v>
      </c>
      <c r="G46" s="4">
        <v>61000</v>
      </c>
      <c r="H46" s="4">
        <v>3050</v>
      </c>
      <c r="I46" s="4">
        <f t="shared" si="0"/>
        <v>64050</v>
      </c>
      <c r="J46" s="1">
        <f t="shared" ca="1" si="1"/>
        <v>3</v>
      </c>
      <c r="K46" s="1">
        <v>3.8</v>
      </c>
      <c r="L46" s="2" t="s">
        <v>20</v>
      </c>
      <c r="M46" s="2" t="s">
        <v>58</v>
      </c>
      <c r="N46" s="1" t="s">
        <v>22</v>
      </c>
      <c r="O46" s="13" t="s">
        <v>23</v>
      </c>
    </row>
    <row r="47" spans="1:15" x14ac:dyDescent="0.25">
      <c r="A47" s="12">
        <v>46</v>
      </c>
      <c r="B47" s="6" t="s">
        <v>182</v>
      </c>
      <c r="C47" s="6" t="s">
        <v>183</v>
      </c>
      <c r="D47" s="6" t="s">
        <v>40</v>
      </c>
      <c r="E47" s="6" t="s">
        <v>92</v>
      </c>
      <c r="F47" s="7" t="s">
        <v>184</v>
      </c>
      <c r="G47" s="8">
        <v>136000</v>
      </c>
      <c r="H47" s="8">
        <v>13600</v>
      </c>
      <c r="I47" s="8">
        <f t="shared" si="0"/>
        <v>149600</v>
      </c>
      <c r="J47" s="5">
        <f t="shared" ca="1" si="1"/>
        <v>16</v>
      </c>
      <c r="K47" s="5">
        <v>4.5999999999999996</v>
      </c>
      <c r="L47" s="6" t="s">
        <v>43</v>
      </c>
      <c r="M47" s="6" t="s">
        <v>30</v>
      </c>
      <c r="N47" s="5" t="s">
        <v>22</v>
      </c>
      <c r="O47" s="14" t="s">
        <v>23</v>
      </c>
    </row>
    <row r="48" spans="1:15" x14ac:dyDescent="0.25">
      <c r="A48" s="11">
        <v>47</v>
      </c>
      <c r="B48" s="2" t="s">
        <v>185</v>
      </c>
      <c r="C48" s="2" t="s">
        <v>186</v>
      </c>
      <c r="D48" s="2" t="s">
        <v>54</v>
      </c>
      <c r="E48" s="2" t="s">
        <v>92</v>
      </c>
      <c r="F48" s="3" t="s">
        <v>187</v>
      </c>
      <c r="G48" s="4">
        <v>152000</v>
      </c>
      <c r="H48" s="4">
        <v>22800</v>
      </c>
      <c r="I48" s="4">
        <f t="shared" si="0"/>
        <v>174800</v>
      </c>
      <c r="J48" s="1">
        <f t="shared" ca="1" si="1"/>
        <v>19</v>
      </c>
      <c r="K48" s="1">
        <v>4.9000000000000004</v>
      </c>
      <c r="L48" s="2" t="s">
        <v>57</v>
      </c>
      <c r="M48" s="2" t="s">
        <v>58</v>
      </c>
      <c r="N48" s="1" t="s">
        <v>22</v>
      </c>
      <c r="O48" s="13" t="s">
        <v>23</v>
      </c>
    </row>
    <row r="49" spans="1:15" x14ac:dyDescent="0.25">
      <c r="A49" s="12">
        <v>48</v>
      </c>
      <c r="B49" s="6" t="s">
        <v>188</v>
      </c>
      <c r="C49" s="6" t="s">
        <v>189</v>
      </c>
      <c r="D49" s="6" t="s">
        <v>33</v>
      </c>
      <c r="E49" s="6" t="s">
        <v>99</v>
      </c>
      <c r="F49" s="7" t="s">
        <v>190</v>
      </c>
      <c r="G49" s="8">
        <v>125000</v>
      </c>
      <c r="H49" s="8">
        <v>12500</v>
      </c>
      <c r="I49" s="8">
        <f t="shared" si="0"/>
        <v>137500</v>
      </c>
      <c r="J49" s="5">
        <f t="shared" ca="1" si="1"/>
        <v>12</v>
      </c>
      <c r="K49" s="5">
        <v>4.8</v>
      </c>
      <c r="L49" s="6" t="s">
        <v>36</v>
      </c>
      <c r="M49" s="6" t="s">
        <v>37</v>
      </c>
      <c r="N49" s="5" t="s">
        <v>22</v>
      </c>
      <c r="O49" s="14" t="s">
        <v>23</v>
      </c>
    </row>
    <row r="50" spans="1:15" x14ac:dyDescent="0.25">
      <c r="A50" s="11">
        <v>49</v>
      </c>
      <c r="B50" s="2" t="s">
        <v>191</v>
      </c>
      <c r="C50" s="2" t="s">
        <v>192</v>
      </c>
      <c r="D50" s="2" t="s">
        <v>81</v>
      </c>
      <c r="E50" s="2" t="s">
        <v>11</v>
      </c>
      <c r="F50" s="3" t="s">
        <v>193</v>
      </c>
      <c r="G50" s="4">
        <v>96000</v>
      </c>
      <c r="H50" s="4">
        <v>7680</v>
      </c>
      <c r="I50" s="4">
        <f t="shared" si="0"/>
        <v>103680</v>
      </c>
      <c r="J50" s="1">
        <f t="shared" ca="1" si="1"/>
        <v>8</v>
      </c>
      <c r="K50" s="1">
        <v>4.3</v>
      </c>
      <c r="L50" s="2" t="s">
        <v>83</v>
      </c>
      <c r="M50" s="2" t="s">
        <v>21</v>
      </c>
      <c r="N50" s="1" t="s">
        <v>22</v>
      </c>
      <c r="O50" s="13" t="s">
        <v>23</v>
      </c>
    </row>
    <row r="51" spans="1:15" x14ac:dyDescent="0.25">
      <c r="A51" s="15">
        <v>50</v>
      </c>
      <c r="B51" s="16" t="s">
        <v>194</v>
      </c>
      <c r="C51" s="16" t="s">
        <v>195</v>
      </c>
      <c r="D51" s="16" t="s">
        <v>26</v>
      </c>
      <c r="E51" s="16" t="s">
        <v>41</v>
      </c>
      <c r="F51" s="17" t="s">
        <v>196</v>
      </c>
      <c r="G51" s="18">
        <v>48000</v>
      </c>
      <c r="H51" s="18">
        <v>1920</v>
      </c>
      <c r="I51" s="18">
        <f t="shared" si="0"/>
        <v>49920</v>
      </c>
      <c r="J51" s="19">
        <f t="shared" ca="1" si="1"/>
        <v>4</v>
      </c>
      <c r="K51" s="19">
        <v>3.7</v>
      </c>
      <c r="L51" s="16" t="s">
        <v>29</v>
      </c>
      <c r="M51" s="16" t="s">
        <v>30</v>
      </c>
      <c r="N51" s="19" t="s">
        <v>22</v>
      </c>
      <c r="O51" s="20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563F-ABAD-45C1-B2E0-CBF95E22E06C}">
  <dimension ref="A1:F11"/>
  <sheetViews>
    <sheetView workbookViewId="0">
      <selection activeCell="B5" sqref="B5"/>
    </sheetView>
  </sheetViews>
  <sheetFormatPr defaultRowHeight="15" x14ac:dyDescent="0.25"/>
  <cols>
    <col min="1" max="1" width="7.42578125" bestFit="1" customWidth="1"/>
    <col min="2" max="2" width="12.7109375" customWidth="1"/>
    <col min="3" max="3" width="12.28515625" customWidth="1"/>
    <col min="4" max="4" width="13.85546875" customWidth="1"/>
    <col min="5" max="5" width="11.85546875" customWidth="1"/>
    <col min="6" max="6" width="10.85546875" bestFit="1" customWidth="1"/>
  </cols>
  <sheetData>
    <row r="1" spans="1:6" ht="30" x14ac:dyDescent="0.25">
      <c r="A1" s="22" t="s">
        <v>0</v>
      </c>
      <c r="B1" s="22" t="s">
        <v>2</v>
      </c>
      <c r="C1" s="22" t="s">
        <v>1</v>
      </c>
      <c r="D1" s="22" t="s">
        <v>3</v>
      </c>
      <c r="E1" s="22" t="s">
        <v>5</v>
      </c>
      <c r="F1" s="22" t="s">
        <v>6</v>
      </c>
    </row>
    <row r="2" spans="1:6" x14ac:dyDescent="0.25">
      <c r="A2" s="9">
        <v>1</v>
      </c>
      <c r="B2" s="9" t="s">
        <v>16</v>
      </c>
      <c r="C2" s="9" t="s">
        <v>15</v>
      </c>
      <c r="D2" s="9" t="s">
        <v>17</v>
      </c>
      <c r="E2" s="10">
        <v>43171</v>
      </c>
      <c r="F2" s="9">
        <v>62000</v>
      </c>
    </row>
    <row r="3" spans="1:6" x14ac:dyDescent="0.25">
      <c r="A3" s="9">
        <v>2</v>
      </c>
      <c r="B3" s="9" t="s">
        <v>25</v>
      </c>
      <c r="C3" s="9" t="s">
        <v>24</v>
      </c>
      <c r="D3" s="9" t="s">
        <v>26</v>
      </c>
      <c r="E3" s="10">
        <v>44378</v>
      </c>
      <c r="F3" s="9">
        <v>48000</v>
      </c>
    </row>
    <row r="4" spans="1:6" x14ac:dyDescent="0.25">
      <c r="A4" s="9">
        <v>3</v>
      </c>
      <c r="B4" s="9" t="s">
        <v>32</v>
      </c>
      <c r="C4" s="9" t="s">
        <v>31</v>
      </c>
      <c r="D4" s="9" t="s">
        <v>33</v>
      </c>
      <c r="E4" s="10">
        <v>43774</v>
      </c>
      <c r="F4" s="9">
        <v>87000</v>
      </c>
    </row>
    <row r="5" spans="1:6" x14ac:dyDescent="0.25">
      <c r="A5" s="9">
        <v>4</v>
      </c>
      <c r="B5" s="9" t="s">
        <v>39</v>
      </c>
      <c r="C5" s="9" t="s">
        <v>38</v>
      </c>
      <c r="D5" s="9" t="s">
        <v>40</v>
      </c>
      <c r="E5" s="10">
        <v>43879</v>
      </c>
      <c r="F5" s="9">
        <v>55000</v>
      </c>
    </row>
    <row r="6" spans="1:6" x14ac:dyDescent="0.25">
      <c r="A6" s="9">
        <v>5</v>
      </c>
      <c r="B6" s="9" t="s">
        <v>45</v>
      </c>
      <c r="C6" s="9" t="s">
        <v>44</v>
      </c>
      <c r="D6" s="9" t="s">
        <v>17</v>
      </c>
      <c r="E6" s="10">
        <v>42238</v>
      </c>
      <c r="F6" s="9">
        <v>78000</v>
      </c>
    </row>
    <row r="7" spans="1:6" x14ac:dyDescent="0.25">
      <c r="A7" s="9">
        <v>6</v>
      </c>
      <c r="B7" s="9" t="s">
        <v>49</v>
      </c>
      <c r="C7" s="9" t="s">
        <v>48</v>
      </c>
      <c r="D7" s="9" t="s">
        <v>33</v>
      </c>
      <c r="E7" s="10">
        <v>44571</v>
      </c>
      <c r="F7" s="9">
        <v>72000</v>
      </c>
    </row>
    <row r="8" spans="1:6" x14ac:dyDescent="0.25">
      <c r="A8" s="9">
        <v>7</v>
      </c>
      <c r="B8" s="9" t="s">
        <v>53</v>
      </c>
      <c r="C8" s="9" t="s">
        <v>52</v>
      </c>
      <c r="D8" s="9" t="s">
        <v>54</v>
      </c>
      <c r="E8" s="10">
        <v>42885</v>
      </c>
      <c r="F8" s="9">
        <v>64000</v>
      </c>
    </row>
    <row r="9" spans="1:6" x14ac:dyDescent="0.25">
      <c r="A9" s="9">
        <v>8</v>
      </c>
      <c r="B9" s="9" t="s">
        <v>60</v>
      </c>
      <c r="C9" s="9" t="s">
        <v>59</v>
      </c>
      <c r="D9" s="9" t="s">
        <v>26</v>
      </c>
      <c r="E9" s="10">
        <v>41531</v>
      </c>
      <c r="F9" s="9">
        <v>91000</v>
      </c>
    </row>
    <row r="10" spans="1:6" x14ac:dyDescent="0.25">
      <c r="A10" s="9">
        <v>9</v>
      </c>
      <c r="B10" s="9" t="s">
        <v>63</v>
      </c>
      <c r="C10" s="9" t="s">
        <v>62</v>
      </c>
      <c r="D10" s="9" t="s">
        <v>40</v>
      </c>
      <c r="E10" s="10">
        <v>43558</v>
      </c>
      <c r="F10" s="9">
        <v>88000</v>
      </c>
    </row>
    <row r="11" spans="1:6" x14ac:dyDescent="0.25">
      <c r="A11" s="9">
        <v>10</v>
      </c>
      <c r="B11" s="9" t="s">
        <v>66</v>
      </c>
      <c r="C11" s="9" t="s">
        <v>65</v>
      </c>
      <c r="D11" s="9" t="s">
        <v>33</v>
      </c>
      <c r="E11" s="10">
        <v>45096</v>
      </c>
      <c r="F11" s="9">
        <v>83000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On Boarding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John Haugabook</cp:lastModifiedBy>
  <cp:revision>0</cp:revision>
  <dcterms:created xsi:type="dcterms:W3CDTF">2026-05-30T22:10:23Z</dcterms:created>
  <dcterms:modified xsi:type="dcterms:W3CDTF">2026-06-05T16:51:34Z</dcterms:modified>
  <dc:language>en-US</dc:language>
</cp:coreProperties>
</file>