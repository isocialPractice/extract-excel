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3"/>
    <sheet name="Sales Dashboard" sheetId="2" state="visible" r:id="rId4"/>
    <sheet name="To-Do List ✅" sheetId="3" state="visible" r:id="rId5"/>
    <sheet name="Pivot Summary 📈" sheetId="4" state="visible" r:id="rId6"/>
    <sheet name="README 📋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<sst xmlns="http://schemas.openxmlformats.org/spreadsheetml/2006/main" count="150" uniqueCount="131">
  <si>
    <t xml:space="preserve">💰 PERSONAL MONTHLY BUDGET TRACKER 2026 💰</t>
  </si>
  <si>
    <t xml:space="preserve">Category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</si>
  <si>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</si>
  <si>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</si>
  <si>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</si>
  <si>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</si>
  <si>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</si>
  <si>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</si>
  <si>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</si>
  <si>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</si>
  <si>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</si>
  <si>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</si>
  <si>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</si>
  <si>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</si>
  <si>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</si>
  <si>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── INCOME ──</t>
  </si>
  <si>
    <t xml:space="preserve">Salary</t>
  </si>
  <si>
    <t xml:space="preserve">Side Hustle</t>
  </si>
  <si>
    <t xml:space="preserve">Investments</t>
  </si>
  <si>
    <t xml:space="preserve">Other Income</t>
  </si>
  <si>
    <t xml:space="preserve">TOTAL INCOME</t>
  </si>
  <si>
    <t xml:space="preserve">── EXPENSES ──</t>
  </si>
  <si>
    <t xml:space="preserve">Rent/Mortgage</t>
  </si>
  <si>
    <t xml:space="preserve">Groceries</t>
  </si>
  <si>
    <t xml:space="preserve">Utilities</t>
  </si>
  <si>
    <t xml:space="preserve">Car Payment</t>
  </si>
  <si>
    <t xml:space="preserve">Gas</t>
  </si>
  <si>
    <t xml:space="preserve">Insurance</t>
  </si>
  <si>
    <t xml:space="preserve">Dining Out</t>
  </si>
  <si>
    <t xml:space="preserve">Entertainment</t>
  </si>
  <si>
    <t xml:space="preserve">Subscriptions</t>
  </si>
  <si>
    <t xml:space="preserve">Gym</t>
  </si>
  <si>
    <t xml:space="preserve">Clothing</t>
  </si>
  <si>
    <t xml:space="preserve">Miscellaneous</t>
  </si>
  <si>
    <t xml:space="preserve">TOTAL EXPENSES</t>
  </si>
  <si>
    <t xml:space="preserve">💵 NET SAVINGS</t>
  </si>
  <si>
    <t xml:space="preserve">📊 QUARTERLY SALES DASHBOARD</t>
  </si>
  <si>
    <t xml:space="preserve">Product</t>
  </si>
  <si>
    <t xml:space="preserve">Q1</t>
  </si>
  <si>
    <t xml:space="preserve">Q2</t>
  </si>
  <si>
    <t xml:space="preserve">Q3</t>
  </si>
  <si>
    <t xml:space="preserve">Q4</t>
  </si>
  <si>
    <t xml:space="preserve">vs Target</t>
  </si>
  <si>
    <t xml:space="preserve">Widget A</t>
  </si>
  <si>
    <t xml:space="preserve">Widget B</t>
  </si>
  <si>
    <t xml:space="preserve">Gizmo Pro</t>
  </si>
  <si>
    <t xml:space="preserve">Super Doohickey</t>
  </si>
  <si>
    <t xml:space="preserve">Thingamajig</t>
  </si>
  <si>
    <t xml:space="preserve">Whatchamacallit</t>
  </si>
  <si>
    <t xml:space="preserve">GRAND TOTAL</t>
  </si>
  <si>
    <t xml:space="preserve">⭐ KEY METRICS</t>
  </si>
  <si>
    <t xml:space="preserve">Best Quarter</t>
  </si>
  <si>
    <t xml:space="preserve">Total Revenue</t>
  </si>
  <si>
    <t xml:space="preserve">Avg per Product</t>
  </si>
  <si>
    <t xml:space="preserve">YoY Growth</t>
  </si>
  <si>
    <t xml:space="preserve">✅ ACTION ITEMS &amp; TO-DO LIST</t>
  </si>
  <si>
    <t xml:space="preserve">#</t>
  </si>
  <si>
    <t xml:space="preserve">Task</t>
  </si>
  <si>
    <t xml:space="preserve">Owner</t>
  </si>
  <si>
    <t xml:space="preserve">Due Date</t>
  </si>
  <si>
    <t xml:space="preserve">Status</t>
  </si>
  <si>
    <t xml:space="preserve">Update Q4 budget spreadsheet</t>
  </si>
  <si>
    <t xml:space="preserve">John</t>
  </si>
  <si>
    <t xml:space="preserve">2026-06-01</t>
  </si>
  <si>
    <t xml:space="preserve">🟡 In Progress</t>
  </si>
  <si>
    <t xml:space="preserve">Send invoice to client</t>
  </si>
  <si>
    <t xml:space="preserve">Sarah</t>
  </si>
  <si>
    <t xml:space="preserve">2026-05-30</t>
  </si>
  <si>
    <t xml:space="preserve">🔴 Overdue</t>
  </si>
  <si>
    <t xml:space="preserve">Schedule team meeting</t>
  </si>
  <si>
    <t xml:space="preserve">Mike</t>
  </si>
  <si>
    <t xml:space="preserve">2026-06-05</t>
  </si>
  <si>
    <t xml:space="preserve">⚪ Not Started</t>
  </si>
  <si>
    <t xml:space="preserve">Review expense reports</t>
  </si>
  <si>
    <t xml:space="preserve">2026-06-03</t>
  </si>
  <si>
    <t xml:space="preserve">Update pivot tables</t>
  </si>
  <si>
    <t xml:space="preserve">2026-06-07</t>
  </si>
  <si>
    <t xml:space="preserve">Prepare presentation for boss</t>
  </si>
  <si>
    <t xml:space="preserve">2026-06-10</t>
  </si>
  <si>
    <t xml:space="preserve">Fix the broken VLOOKUP</t>
  </si>
  <si>
    <t xml:space="preserve">Everyone</t>
  </si>
  <si>
    <t xml:space="preserve">2026-05-28</t>
  </si>
  <si>
    <t xml:space="preserve">Color code the spreadsheet</t>
  </si>
  <si>
    <t xml:space="preserve">2026-06-02</t>
  </si>
  <si>
    <t xml:space="preserve">✅ Done</t>
  </si>
  <si>
    <t xml:space="preserve">Add more conditional formatting</t>
  </si>
  <si>
    <t xml:space="preserve">2026-06-04</t>
  </si>
  <si>
    <t xml:space="preserve">Make chart look prettier</t>
  </si>
  <si>
    <t xml:space="preserve">2026-06-08</t>
  </si>
  <si>
    <t xml:space="preserve">SUMMARY</t>
  </si>
  <si>
    <t xml:space="preserve">Total Tasks</t>
  </si>
  <si>
    <t xml:space="preserve">Done</t>
  </si>
  <si>
    <t xml:space="preserve">In Progress</t>
  </si>
  <si>
    <t xml:space="preserve">Overdue</t>
  </si>
  <si>
    <t xml:space="preserve">📈 EXECUTIVE SUMMARY (NOT ACTUALLY A PIVOT TABLE)</t>
  </si>
  <si>
    <t xml:space="preserve">Region</t>
  </si>
  <si>
    <t xml:space="preserve">Sales Rep</t>
  </si>
  <si>
    <t xml:space="preserve">Revenue</t>
  </si>
  <si>
    <t xml:space="preserve">Units</t>
  </si>
  <si>
    <t xml:space="preserve">Avg Deal</t>
  </si>
  <si>
    <t xml:space="preserve">% of Total</t>
  </si>
  <si>
    <t xml:space="preserve">North</t>
  </si>
  <si>
    <t xml:space="preserve">Alice Johnson</t>
  </si>
  <si>
    <t xml:space="preserve">Bob Smith</t>
  </si>
  <si>
    <t xml:space="preserve">South</t>
  </si>
  <si>
    <t xml:space="preserve">Carol White</t>
  </si>
  <si>
    <t xml:space="preserve">Dave Brown</t>
  </si>
  <si>
    <t xml:space="preserve">East</t>
  </si>
  <si>
    <t xml:space="preserve">Eve Davis</t>
  </si>
  <si>
    <t xml:space="preserve">Frank Miller</t>
  </si>
  <si>
    <t xml:space="preserve">West</t>
  </si>
  <si>
    <t xml:space="preserve">Grace Wilson</t>
  </si>
  <si>
    <t xml:space="preserve">Henry Moore</t>
  </si>
  <si>
    <t xml:space="preserve">📋 HOW TO USE THIS WORKBOOK</t>
  </si>
  <si>
    <t xml:space="preserve">Monthly Budget</t>
  </si>
  <si>
    <t xml:space="preserve">Track every penny. Blue cells = inputs. Don't touch the formulas!!!</t>
  </si>
  <si>
    <t xml:space="preserve">Sales Dashboard</t>
  </si>
  <si>
    <t xml:space="preserve">Updated quarterly. Ask John for the password. (It's Password123)</t>
  </si>
  <si>
    <t xml:space="preserve">To-Do List</t>
  </si>
  <si>
    <t xml:space="preserve">Please update your status. YES THIS MEANS YOU, MIKE.</t>
  </si>
  <si>
    <t xml:space="preserve">Pivot Summary</t>
  </si>
  <si>
    <t xml:space="preserve">Not actually a pivot table. We couldn't figure out pivot tables.</t>
  </si>
  <si>
    <t xml:space="preserve">IMPORTANT:</t>
  </si>
  <si>
    <t xml:space="preserve">DO NOT DELETE ANY ROWS OR THE WHOLE THING BREAKS</t>
  </si>
  <si>
    <t xml:space="preserve">ALSO:</t>
  </si>
  <si>
    <t xml:space="preserve">Do not sort column A. It will break the SUM formulas.</t>
  </si>
  <si>
    <t xml:space="preserve">NOTE:</t>
  </si>
  <si>
    <t xml:space="preserve">This file was last saved on a Windows XP machine. Proceed with caution.</t>
  </si>
  <si>
    <t xml:space="preserve">TIP:</t>
  </si>
  <si>
    <t xml:space="preserve">For best results, enable macros when prompted</t>
  </si>
  <si>
    <t xml:space="preserve">WARNING: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</si>
</sst>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;&quot;($&quot;#,##0\);\-"/>
    <numFmt numFmtId="167" formatCode="0.0%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2ECC7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34495E"/>
      </patternFill>
    </fill>
    <fill>
      <patternFill patternType="solid">
        <fgColor rgb="FF2E75B6"/>
        <bgColor rgb="FF4672A8"/>
      </patternFill>
    </fill>
    <fill>
      <patternFill patternType="solid">
        <fgColor rgb="FFC6EFCE"/>
        <bgColor rgb="FFD5F5E3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A9D18E"/>
        <bgColor rgb="FFA9DFBF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7171"/>
        <bgColor rgb="FFDC853E"/>
      </patternFill>
    </fill>
    <fill>
      <patternFill patternType="solid">
        <fgColor rgb="FF7030A0"/>
        <bgColor rgb="FF725990"/>
      </patternFill>
    </fill>
    <fill>
      <patternFill patternType="solid">
        <fgColor rgb="FF9B59B6"/>
        <bgColor rgb="FF8064A2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27AE60"/>
        <bgColor rgb="FF229954"/>
      </patternFill>
    </fill>
    <fill>
      <patternFill patternType="solid">
        <fgColor rgb="FF229954"/>
        <bgColor rgb="FF27AE60"/>
      </patternFill>
    </fill>
    <fill>
      <patternFill patternType="solid">
        <fgColor rgb="FFFFEB9C"/>
        <bgColor rgb="FFFFF2CC"/>
      </patternFill>
    </fill>
    <fill>
      <patternFill patternType="solid">
        <fgColor rgb="FFEDEDED"/>
        <bgColor rgb="FFDEEAF1"/>
      </patternFill>
    </fill>
    <fill>
      <patternFill patternType="solid">
        <fgColor rgb="FFD5F5E3"/>
        <bgColor rgb="FFE2EFDA"/>
      </patternFill>
    </fill>
    <fill>
      <patternFill patternType="solid">
        <fgColor rgb="FFA9DFBF"/>
        <bgColor rgb="FFA9D18E"/>
      </patternFill>
    </fill>
    <fill>
      <patternFill patternType="solid">
        <fgColor rgb="FFC0392B"/>
        <bgColor rgb="FFAB4744"/>
      </patternFill>
    </fill>
    <fill>
      <patternFill patternType="solid">
        <fgColor rgb="FFE74C3C"/>
        <bgColor rgb="FFC0504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8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9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2EFDA"/>
      <rgbColor rgb="FFFF00FF"/>
      <rgbColor rgb="FFF9F9F9"/>
      <rgbColor rgb="FF9C0006"/>
      <rgbColor rgb="FF008000"/>
      <rgbColor rgb="FF000080"/>
      <rgbColor rgb="FFC0504D"/>
      <rgbColor rgb="FF8064A2"/>
      <rgbColor rgb="FF27AE60"/>
      <rgbColor rgb="FFA9D18E"/>
      <rgbColor rgb="FF878787"/>
      <rgbColor rgb="FF93A9CE"/>
      <rgbColor rgb="FFAB4744"/>
      <rgbColor rgb="FFFFF2CC"/>
      <rgbColor rgb="FFDEEAF1"/>
      <rgbColor rgb="FF660066"/>
      <rgbColor rgb="FFFF7171"/>
      <rgbColor rgb="FF4672A8"/>
      <rgbColor rgb="FFD9D9D9"/>
      <rgbColor rgb="FF000080"/>
      <rgbColor rgb="FFFF00FF"/>
      <rgbColor rgb="FFEDEDED"/>
      <rgbColor rgb="FF00FFFF"/>
      <rgbColor rgb="FF800080"/>
      <rgbColor rgb="FF800000"/>
      <rgbColor rgb="FF4299B0"/>
      <rgbColor rgb="FF0000FF"/>
      <rgbColor rgb="FF4F81BD"/>
      <rgbColor rgb="FFC6EFCE"/>
      <rgbColor rgb="FFD5F5E3"/>
      <rgbColor rgb="FFFFEB9C"/>
      <rgbColor rgb="FFA9DFBF"/>
      <rgbColor rgb="FFD09493"/>
      <rgbColor rgb="FF9B59B6"/>
      <rgbColor rgb="FFFFC7CE"/>
      <rgbColor rgb="FF2E75B6"/>
      <rgbColor rgb="FF2ECC71"/>
      <rgbColor rgb="FF9BBB59"/>
      <rgbColor rgb="FFFCE4D6"/>
      <rgbColor rgb="FFDC853E"/>
      <rgbColor rgb="FFE74C3C"/>
      <rgbColor rgb="FF725990"/>
      <rgbColor rgb="FF8AA64F"/>
      <rgbColor rgb="FF34495E"/>
      <rgbColor rgb="FF229954"/>
      <rgbColor rgb="FF003300"/>
      <rgbColor rgb="FF375623"/>
      <rgbColor rgb="FFC0392B"/>
      <rgbColor rgb="FF7030A0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'Sales Dashboard'!B2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Dashboard'!$A$3:$A$8</c:f>
              <c:strCache>
                <c:ptCount val="6"/>
                <c:pt idx="0">
                  <c:v>Widget A</c:v>
                </c:pt>
                <c:pt idx="1">
                  <c:v>Widget B</c:v>
                </c:pt>
                <c:pt idx="2">
                  <c:v>Gizmo Pro</c:v>
                </c:pt>
                <c:pt idx="3">
                  <c:v>Super Doohickey</c:v>
                </c:pt>
                <c:pt idx="4">
                  <c:v>Thingamajig</c:v>
                </c:pt>
                <c:pt idx="5">
                  <c:v>Whatchamacallit</c:v>
                </c:pt>
              </c:strCache>
            </c:strRef>
          </c:cat>
          <c:val>
            <c:numRef>
              <c:f>'Sales Dashboard'!$B$3:$B$8</c:f>
              <c:numCache>
                <c:formatCode>\$#,##0</c:formatCode>
                <c:ptCount val="6"/>
                <c:pt idx="0">
                  <c:v>10745</c:v>
                </c:pt>
                <c:pt idx="1">
                  <c:v>13903</c:v>
                </c:pt>
                <c:pt idx="2">
                  <c:v>9269</c:v>
                </c:pt>
                <c:pt idx="3">
                  <c:v>16676</c:v>
                </c:pt>
                <c:pt idx="4">
                  <c:v>15780</c:v>
                </c:pt>
                <c:pt idx="5">
                  <c:v>13218</c:v>
                </c:pt>
              </c:numCache>
            </c:numRef>
          </c:val>
        </c:ser>
        <c:ser>
          <c:idx val="1"/>
          <c:order val="1"/>
          <c:tx>
            <c:strRef>
              <c:f>'Sales Dashboard'!C2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Dashboard'!$A$3:$A$8</c:f>
              <c:strCache>
                <c:ptCount val="6"/>
                <c:pt idx="0">
                  <c:v>Widget A</c:v>
                </c:pt>
                <c:pt idx="1">
                  <c:v>Widget B</c:v>
                </c:pt>
                <c:pt idx="2">
                  <c:v>Gizmo Pro</c:v>
                </c:pt>
                <c:pt idx="3">
                  <c:v>Super Doohickey</c:v>
                </c:pt>
                <c:pt idx="4">
                  <c:v>Thingamajig</c:v>
                </c:pt>
                <c:pt idx="5">
                  <c:v>Whatchamacallit</c:v>
                </c:pt>
              </c:strCache>
            </c:strRef>
          </c:cat>
          <c:val>
            <c:numRef>
              <c:f>'Sales Dashboard'!$C$3:$C$8</c:f>
              <c:numCache>
                <c:formatCode>\$#,##0</c:formatCode>
                <c:ptCount val="6"/>
                <c:pt idx="0">
                  <c:v>10170</c:v>
                </c:pt>
                <c:pt idx="1">
                  <c:v>8572</c:v>
                </c:pt>
                <c:pt idx="2">
                  <c:v>16708</c:v>
                </c:pt>
                <c:pt idx="3">
                  <c:v>17443</c:v>
                </c:pt>
                <c:pt idx="4">
                  <c:v>17623</c:v>
                </c:pt>
                <c:pt idx="5">
                  <c:v>14572</c:v>
                </c:pt>
              </c:numCache>
            </c:numRef>
          </c:val>
        </c:ser>
        <c:ser>
          <c:idx val="2"/>
          <c:order val="2"/>
          <c:tx>
            <c:strRef>
              <c:f>'Sales Dashboard'!D2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Dashboard'!$A$3:$A$8</c:f>
              <c:strCache>
                <c:ptCount val="6"/>
                <c:pt idx="0">
                  <c:v>Widget A</c:v>
                </c:pt>
                <c:pt idx="1">
                  <c:v>Widget B</c:v>
                </c:pt>
                <c:pt idx="2">
                  <c:v>Gizmo Pro</c:v>
                </c:pt>
                <c:pt idx="3">
                  <c:v>Super Doohickey</c:v>
                </c:pt>
                <c:pt idx="4">
                  <c:v>Thingamajig</c:v>
                </c:pt>
                <c:pt idx="5">
                  <c:v>Whatchamacallit</c:v>
                </c:pt>
              </c:strCache>
            </c:strRef>
          </c:cat>
          <c:val>
            <c:numRef>
              <c:f>'Sales Dashboard'!$D$3:$D$8</c:f>
              <c:numCache>
                <c:formatCode>\$#,##0</c:formatCode>
                <c:ptCount val="6"/>
                <c:pt idx="0">
                  <c:v>17844</c:v>
                </c:pt>
                <c:pt idx="1">
                  <c:v>9285</c:v>
                </c:pt>
                <c:pt idx="2">
                  <c:v>14131</c:v>
                </c:pt>
                <c:pt idx="3">
                  <c:v>16027</c:v>
                </c:pt>
                <c:pt idx="4">
                  <c:v>17720</c:v>
                </c:pt>
                <c:pt idx="5">
                  <c:v>12287</c:v>
                </c:pt>
              </c:numCache>
            </c:numRef>
          </c:val>
        </c:ser>
        <c:ser>
          <c:idx val="3"/>
          <c:order val="3"/>
          <c:tx>
            <c:strRef>
              <c:f>'Sales Dashboard'!E2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Dashboard'!$A$3:$A$8</c:f>
              <c:strCache>
                <c:ptCount val="6"/>
                <c:pt idx="0">
                  <c:v>Widget A</c:v>
                </c:pt>
                <c:pt idx="1">
                  <c:v>Widget B</c:v>
                </c:pt>
                <c:pt idx="2">
                  <c:v>Gizmo Pro</c:v>
                </c:pt>
                <c:pt idx="3">
                  <c:v>Super Doohickey</c:v>
                </c:pt>
                <c:pt idx="4">
                  <c:v>Thingamajig</c:v>
                </c:pt>
                <c:pt idx="5">
                  <c:v>Whatchamacallit</c:v>
                </c:pt>
              </c:strCache>
            </c:strRef>
          </c:cat>
          <c:val>
            <c:numRef>
              <c:f>'Sales Dashboard'!$E$3:$E$8</c:f>
              <c:numCache>
                <c:formatCode>\$#,##0</c:formatCode>
                <c:ptCount val="6"/>
                <c:pt idx="0">
                  <c:v>16341</c:v>
                </c:pt>
                <c:pt idx="1">
                  <c:v>8154</c:v>
                </c:pt>
                <c:pt idx="2">
                  <c:v>15814</c:v>
                </c:pt>
                <c:pt idx="3">
                  <c:v>9942</c:v>
                </c:pt>
                <c:pt idx="4">
                  <c:v>13080</c:v>
                </c:pt>
                <c:pt idx="5">
                  <c:v>17232</c:v>
                </c:pt>
              </c:numCache>
            </c:numRef>
          </c:val>
        </c:ser>
        <c:gapWidth val="150"/>
        <c:overlap val="0"/>
        <c:axId val="43559460"/>
        <c:axId val="77091314"/>
      </c:barChart>
      <c:catAx>
        <c:axId val="43559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91314"/>
        <c:crosses val="autoZero"/>
        <c:auto val="1"/>
        <c:lblAlgn val="ctr"/>
        <c:lblOffset val="100"/>
        <c:noMultiLvlLbl val="0"/>
      </c:catAx>
      <c:valAx>
        <c:axId val="77091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59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Summary 📈'!C3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'Pivot Summary 📈'!$B$4:$B$11</c:f>
              <c:strCache>
                <c:ptCount val="8"/>
                <c:pt idx="0">
                  <c:v>Alice Johnson</c:v>
                </c:pt>
                <c:pt idx="1">
                  <c:v>Bob Smith</c:v>
                </c:pt>
                <c:pt idx="2">
                  <c:v>Carol White</c:v>
                </c:pt>
                <c:pt idx="3">
                  <c:v>Dave Brown</c:v>
                </c:pt>
                <c:pt idx="4">
                  <c:v>Eve Davis</c:v>
                </c:pt>
                <c:pt idx="5">
                  <c:v>Frank Miller</c:v>
                </c:pt>
                <c:pt idx="6">
                  <c:v>Grace Wilson</c:v>
                </c:pt>
                <c:pt idx="7">
                  <c:v>Henry Moore</c:v>
                </c:pt>
              </c:strCache>
            </c:strRef>
          </c:cat>
          <c:val>
            <c:numRef>
              <c:f>'Pivot Summary 📈'!$C$4:$C$11</c:f>
              <c:numCache>
                <c:formatCode>\$#,##0</c:formatCode>
                <c:ptCount val="8"/>
                <c:pt idx="0">
                  <c:v>184500</c:v>
                </c:pt>
                <c:pt idx="1">
                  <c:v>142300</c:v>
                </c:pt>
                <c:pt idx="2">
                  <c:v>221000</c:v>
                </c:pt>
                <c:pt idx="3">
                  <c:v>98750</c:v>
                </c:pt>
                <c:pt idx="4">
                  <c:v>310400</c:v>
                </c:pt>
                <c:pt idx="5">
                  <c:v>178900</c:v>
                </c:pt>
                <c:pt idx="6">
                  <c:v>267800</c:v>
                </c:pt>
                <c:pt idx="7">
                  <c:v>155200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432720</xdr:colOff>
      <xdr:row>36</xdr:row>
      <xdr:rowOff>128160</xdr:rowOff>
    </xdr:to>
    <xdr:graphicFrame>
      <xdr:nvGraphicFramePr>
        <xdr:cNvPr id="0" name="Chart 1"/>
        <xdr:cNvGraphicFramePr/>
      </xdr:nvGraphicFramePr>
      <xdr:xfrm>
        <a:off x="0" y="303840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6</xdr:col>
      <xdr:colOff>120600</xdr:colOff>
      <xdr:row>35</xdr:row>
      <xdr:rowOff>128160</xdr:rowOff>
    </xdr:to>
    <xdr:graphicFrame>
      <xdr:nvGraphicFramePr>
        <xdr:cNvPr id="1" name="Chart 1"/>
        <xdr:cNvGraphicFramePr/>
      </xdr:nvGraphicFramePr>
      <xdr:xfrm>
        <a:off x="0" y="266688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N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14" min="2" style="1" width="10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tr">
        <f aca="true">YEAR(TODAY())&amp;" Budget — Updated: "&amp;TEXT(TODAY(),"MMMM DD, YYYY")</f>
        <v>2026 Budget — Updated: May 30, 2026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5" t="s">
        <v>14</v>
      </c>
    </row>
    <row r="4" customFormat="false" ht="15" hidden="false" customHeight="true" outlineLevel="0" collapsed="false">
      <c r="A4" s="6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customFormat="false" ht="15" hidden="false" customHeight="true" outlineLevel="0" collapsed="false">
      <c r="A5" s="7" t="s">
        <v>16</v>
      </c>
      <c r="B5" s="8" t="n">
        <v>4960</v>
      </c>
      <c r="C5" s="8" t="n">
        <v>4975</v>
      </c>
      <c r="D5" s="8" t="n">
        <v>5011</v>
      </c>
      <c r="E5" s="8" t="n">
        <v>5001</v>
      </c>
      <c r="F5" s="8" t="n">
        <v>4959</v>
      </c>
      <c r="G5" s="8" t="n">
        <v>5072</v>
      </c>
      <c r="H5" s="8" t="n">
        <v>5008</v>
      </c>
      <c r="I5" s="8" t="n">
        <v>5079</v>
      </c>
      <c r="J5" s="8" t="n">
        <v>5079</v>
      </c>
      <c r="K5" s="8" t="n">
        <v>5070</v>
      </c>
      <c r="L5" s="8" t="n">
        <v>5052</v>
      </c>
      <c r="M5" s="8" t="n">
        <v>5043</v>
      </c>
      <c r="N5" s="9" t="n">
        <f aca="false">SUM(B5:M5)</f>
        <v>60309</v>
      </c>
    </row>
    <row r="6" customFormat="false" ht="15" hidden="false" customHeight="true" outlineLevel="0" collapsed="false">
      <c r="A6" s="7" t="s">
        <v>17</v>
      </c>
      <c r="B6" s="10" t="n">
        <v>554</v>
      </c>
      <c r="C6" s="10" t="n">
        <v>493</v>
      </c>
      <c r="D6" s="10" t="n">
        <v>576</v>
      </c>
      <c r="E6" s="10" t="n">
        <v>580</v>
      </c>
      <c r="F6" s="10" t="n">
        <v>469</v>
      </c>
      <c r="G6" s="10" t="n">
        <v>484</v>
      </c>
      <c r="H6" s="10" t="n">
        <v>592</v>
      </c>
      <c r="I6" s="10" t="n">
        <v>532</v>
      </c>
      <c r="J6" s="10" t="n">
        <v>600</v>
      </c>
      <c r="K6" s="10" t="n">
        <v>489</v>
      </c>
      <c r="L6" s="10" t="n">
        <v>507</v>
      </c>
      <c r="M6" s="10" t="n">
        <v>515</v>
      </c>
      <c r="N6" s="9" t="n">
        <f aca="false">SUM(B6:M6)</f>
        <v>6391</v>
      </c>
    </row>
    <row r="7" customFormat="false" ht="15" hidden="false" customHeight="true" outlineLevel="0" collapsed="false">
      <c r="A7" s="7" t="s">
        <v>18</v>
      </c>
      <c r="B7" s="8" t="n">
        <v>220</v>
      </c>
      <c r="C7" s="8" t="n">
        <v>172</v>
      </c>
      <c r="D7" s="8" t="n">
        <v>297</v>
      </c>
      <c r="E7" s="8" t="n">
        <v>284</v>
      </c>
      <c r="F7" s="8" t="n">
        <v>288</v>
      </c>
      <c r="G7" s="8" t="n">
        <v>250</v>
      </c>
      <c r="H7" s="8" t="n">
        <v>241</v>
      </c>
      <c r="I7" s="8" t="n">
        <v>193</v>
      </c>
      <c r="J7" s="8" t="n">
        <v>191</v>
      </c>
      <c r="K7" s="8" t="n">
        <v>253</v>
      </c>
      <c r="L7" s="8" t="n">
        <v>161</v>
      </c>
      <c r="M7" s="8" t="n">
        <v>221</v>
      </c>
      <c r="N7" s="9" t="n">
        <f aca="false">SUM(B7:M7)</f>
        <v>2771</v>
      </c>
    </row>
    <row r="8" customFormat="false" ht="15" hidden="false" customHeight="true" outlineLevel="0" collapsed="false">
      <c r="A8" s="7" t="s">
        <v>19</v>
      </c>
      <c r="B8" s="10" t="n">
        <v>53</v>
      </c>
      <c r="C8" s="10" t="n">
        <v>129</v>
      </c>
      <c r="D8" s="10" t="n">
        <v>138</v>
      </c>
      <c r="E8" s="10" t="n">
        <v>175</v>
      </c>
      <c r="F8" s="10" t="n">
        <v>74</v>
      </c>
      <c r="G8" s="10" t="n">
        <v>151</v>
      </c>
      <c r="H8" s="10" t="n">
        <v>125</v>
      </c>
      <c r="I8" s="10" t="n">
        <v>99</v>
      </c>
      <c r="J8" s="10" t="n">
        <v>150</v>
      </c>
      <c r="K8" s="10" t="n">
        <v>163</v>
      </c>
      <c r="L8" s="10" t="n">
        <v>87</v>
      </c>
      <c r="M8" s="10" t="n">
        <v>72</v>
      </c>
      <c r="N8" s="9" t="n">
        <f aca="false">SUM(B8:M8)</f>
        <v>1416</v>
      </c>
    </row>
    <row r="9" customFormat="false" ht="15" hidden="false" customHeight="true" outlineLevel="0" collapsed="false">
      <c r="A9" s="11" t="s">
        <v>20</v>
      </c>
      <c r="B9" s="12" t="n">
        <f aca="false">SUM(B5:B8)</f>
        <v>5787</v>
      </c>
      <c r="C9" s="12" t="n">
        <f aca="false">SUM(C5:C8)</f>
        <v>5769</v>
      </c>
      <c r="D9" s="12" t="n">
        <f aca="false">SUM(D5:D8)</f>
        <v>6022</v>
      </c>
      <c r="E9" s="12" t="n">
        <f aca="false">SUM(E5:E8)</f>
        <v>6040</v>
      </c>
      <c r="F9" s="12" t="n">
        <f aca="false">SUM(F5:F8)</f>
        <v>5790</v>
      </c>
      <c r="G9" s="12" t="n">
        <f aca="false">SUM(G5:G8)</f>
        <v>5957</v>
      </c>
      <c r="H9" s="12" t="n">
        <f aca="false">SUM(H5:H8)</f>
        <v>5966</v>
      </c>
      <c r="I9" s="12" t="n">
        <f aca="false">SUM(I5:I8)</f>
        <v>5903</v>
      </c>
      <c r="J9" s="12" t="n">
        <f aca="false">SUM(J5:J8)</f>
        <v>6020</v>
      </c>
      <c r="K9" s="12" t="n">
        <f aca="false">SUM(K5:K8)</f>
        <v>5975</v>
      </c>
      <c r="L9" s="12" t="n">
        <f aca="false">SUM(L5:L8)</f>
        <v>5807</v>
      </c>
      <c r="M9" s="12" t="n">
        <f aca="false">SUM(M5:M8)</f>
        <v>5851</v>
      </c>
      <c r="N9" s="12" t="n">
        <f aca="false">SUM(N5:N8)</f>
        <v>70887</v>
      </c>
    </row>
    <row r="10" customFormat="false" ht="15" hidden="false" customHeight="true" outlineLevel="0" collapsed="false">
      <c r="A10" s="13" t="s">
        <v>21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15" hidden="false" customHeight="true" outlineLevel="0" collapsed="false">
      <c r="A11" s="14" t="s">
        <v>22</v>
      </c>
      <c r="B11" s="8" t="n">
        <v>1494</v>
      </c>
      <c r="C11" s="8" t="n">
        <v>1522</v>
      </c>
      <c r="D11" s="8" t="n">
        <v>1499</v>
      </c>
      <c r="E11" s="8" t="n">
        <v>1484</v>
      </c>
      <c r="F11" s="8" t="n">
        <v>1510</v>
      </c>
      <c r="G11" s="8" t="n">
        <v>1511</v>
      </c>
      <c r="H11" s="8" t="n">
        <v>1480</v>
      </c>
      <c r="I11" s="8" t="n">
        <v>1504</v>
      </c>
      <c r="J11" s="8" t="n">
        <v>1523</v>
      </c>
      <c r="K11" s="8" t="n">
        <v>1494</v>
      </c>
      <c r="L11" s="8" t="n">
        <v>1481</v>
      </c>
      <c r="M11" s="8" t="n">
        <v>1514</v>
      </c>
      <c r="N11" s="9" t="n">
        <f aca="false">SUM(B11:M11)</f>
        <v>18016</v>
      </c>
    </row>
    <row r="12" customFormat="false" ht="15" hidden="false" customHeight="true" outlineLevel="0" collapsed="false">
      <c r="A12" s="14" t="s">
        <v>23</v>
      </c>
      <c r="B12" s="10" t="n">
        <v>418</v>
      </c>
      <c r="C12" s="10" t="n">
        <v>428</v>
      </c>
      <c r="D12" s="10" t="n">
        <v>401</v>
      </c>
      <c r="E12" s="10" t="n">
        <v>398</v>
      </c>
      <c r="F12" s="10" t="n">
        <v>388</v>
      </c>
      <c r="G12" s="10" t="n">
        <v>423</v>
      </c>
      <c r="H12" s="10" t="n">
        <v>405</v>
      </c>
      <c r="I12" s="10" t="n">
        <v>422</v>
      </c>
      <c r="J12" s="10" t="n">
        <v>404</v>
      </c>
      <c r="K12" s="10" t="n">
        <v>425</v>
      </c>
      <c r="L12" s="10" t="n">
        <v>416</v>
      </c>
      <c r="M12" s="10" t="n">
        <v>425</v>
      </c>
      <c r="N12" s="9" t="n">
        <f aca="false">SUM(B12:M12)</f>
        <v>4953</v>
      </c>
    </row>
    <row r="13" customFormat="false" ht="15" hidden="false" customHeight="true" outlineLevel="0" collapsed="false">
      <c r="A13" s="14" t="s">
        <v>24</v>
      </c>
      <c r="B13" s="8" t="n">
        <v>156</v>
      </c>
      <c r="C13" s="8" t="n">
        <v>177</v>
      </c>
      <c r="D13" s="8" t="n">
        <v>137</v>
      </c>
      <c r="E13" s="8" t="n">
        <v>153</v>
      </c>
      <c r="F13" s="8" t="n">
        <v>137</v>
      </c>
      <c r="G13" s="8" t="n">
        <v>130</v>
      </c>
      <c r="H13" s="8" t="n">
        <v>163</v>
      </c>
      <c r="I13" s="8" t="n">
        <v>160</v>
      </c>
      <c r="J13" s="8" t="n">
        <v>178</v>
      </c>
      <c r="K13" s="8" t="n">
        <v>157</v>
      </c>
      <c r="L13" s="8" t="n">
        <v>140</v>
      </c>
      <c r="M13" s="8" t="n">
        <v>160</v>
      </c>
      <c r="N13" s="9" t="n">
        <f aca="false">SUM(B13:M13)</f>
        <v>1848</v>
      </c>
    </row>
    <row r="14" customFormat="false" ht="15" hidden="false" customHeight="true" outlineLevel="0" collapsed="false">
      <c r="A14" s="14" t="s">
        <v>25</v>
      </c>
      <c r="B14" s="10" t="n">
        <v>350</v>
      </c>
      <c r="C14" s="10" t="n">
        <v>363</v>
      </c>
      <c r="D14" s="10" t="n">
        <v>356</v>
      </c>
      <c r="E14" s="10" t="n">
        <v>356</v>
      </c>
      <c r="F14" s="10" t="n">
        <v>367</v>
      </c>
      <c r="G14" s="10" t="n">
        <v>364</v>
      </c>
      <c r="H14" s="10" t="n">
        <v>343</v>
      </c>
      <c r="I14" s="10" t="n">
        <v>373</v>
      </c>
      <c r="J14" s="10" t="n">
        <v>364</v>
      </c>
      <c r="K14" s="10" t="n">
        <v>338</v>
      </c>
      <c r="L14" s="10" t="n">
        <v>364</v>
      </c>
      <c r="M14" s="10" t="n">
        <v>342</v>
      </c>
      <c r="N14" s="9" t="n">
        <f aca="false">SUM(B14:M14)</f>
        <v>4280</v>
      </c>
    </row>
    <row r="15" customFormat="false" ht="15" hidden="false" customHeight="true" outlineLevel="0" collapsed="false">
      <c r="A15" s="14" t="s">
        <v>26</v>
      </c>
      <c r="B15" s="8" t="n">
        <v>150</v>
      </c>
      <c r="C15" s="8" t="n">
        <v>147</v>
      </c>
      <c r="D15" s="8" t="n">
        <v>119</v>
      </c>
      <c r="E15" s="8" t="n">
        <v>131</v>
      </c>
      <c r="F15" s="8" t="n">
        <v>147</v>
      </c>
      <c r="G15" s="8" t="n">
        <v>140</v>
      </c>
      <c r="H15" s="8" t="n">
        <v>100</v>
      </c>
      <c r="I15" s="8" t="n">
        <v>130</v>
      </c>
      <c r="J15" s="8" t="n">
        <v>136</v>
      </c>
      <c r="K15" s="8" t="n">
        <v>134</v>
      </c>
      <c r="L15" s="8" t="n">
        <v>102</v>
      </c>
      <c r="M15" s="8" t="n">
        <v>100</v>
      </c>
      <c r="N15" s="9" t="n">
        <f aca="false">SUM(B15:M15)</f>
        <v>1536</v>
      </c>
    </row>
    <row r="16" customFormat="false" ht="15" hidden="false" customHeight="true" outlineLevel="0" collapsed="false">
      <c r="A16" s="14" t="s">
        <v>27</v>
      </c>
      <c r="B16" s="10" t="n">
        <v>186</v>
      </c>
      <c r="C16" s="10" t="n">
        <v>207</v>
      </c>
      <c r="D16" s="10" t="n">
        <v>194</v>
      </c>
      <c r="E16" s="10" t="n">
        <v>205</v>
      </c>
      <c r="F16" s="10" t="n">
        <v>194</v>
      </c>
      <c r="G16" s="10" t="n">
        <v>180</v>
      </c>
      <c r="H16" s="10" t="n">
        <v>193</v>
      </c>
      <c r="I16" s="10" t="n">
        <v>228</v>
      </c>
      <c r="J16" s="10" t="n">
        <v>228</v>
      </c>
      <c r="K16" s="10" t="n">
        <v>203</v>
      </c>
      <c r="L16" s="10" t="n">
        <v>197</v>
      </c>
      <c r="M16" s="10" t="n">
        <v>205</v>
      </c>
      <c r="N16" s="9" t="n">
        <f aca="false">SUM(B16:M16)</f>
        <v>2420</v>
      </c>
    </row>
    <row r="17" customFormat="false" ht="15" hidden="false" customHeight="true" outlineLevel="0" collapsed="false">
      <c r="A17" s="14" t="s">
        <v>28</v>
      </c>
      <c r="B17" s="8" t="n">
        <v>242</v>
      </c>
      <c r="C17" s="8" t="n">
        <v>240</v>
      </c>
      <c r="D17" s="8" t="n">
        <v>240</v>
      </c>
      <c r="E17" s="8" t="n">
        <v>256</v>
      </c>
      <c r="F17" s="8" t="n">
        <v>235</v>
      </c>
      <c r="G17" s="8" t="n">
        <v>246</v>
      </c>
      <c r="H17" s="8" t="n">
        <v>241</v>
      </c>
      <c r="I17" s="8" t="n">
        <v>263</v>
      </c>
      <c r="J17" s="8" t="n">
        <v>231</v>
      </c>
      <c r="K17" s="8" t="n">
        <v>240</v>
      </c>
      <c r="L17" s="8" t="n">
        <v>233</v>
      </c>
      <c r="M17" s="8" t="n">
        <v>251</v>
      </c>
      <c r="N17" s="9" t="n">
        <f aca="false">SUM(B17:M17)</f>
        <v>2918</v>
      </c>
    </row>
    <row r="18" customFormat="false" ht="15" hidden="false" customHeight="true" outlineLevel="0" collapsed="false">
      <c r="A18" s="14" t="s">
        <v>29</v>
      </c>
      <c r="B18" s="10" t="n">
        <v>124</v>
      </c>
      <c r="C18" s="10" t="n">
        <v>96</v>
      </c>
      <c r="D18" s="10" t="n">
        <v>124</v>
      </c>
      <c r="E18" s="10" t="n">
        <v>95</v>
      </c>
      <c r="F18" s="10" t="n">
        <v>106</v>
      </c>
      <c r="G18" s="10" t="n">
        <v>80</v>
      </c>
      <c r="H18" s="10" t="n">
        <v>80</v>
      </c>
      <c r="I18" s="10" t="n">
        <v>102</v>
      </c>
      <c r="J18" s="10" t="n">
        <v>89</v>
      </c>
      <c r="K18" s="10" t="n">
        <v>84</v>
      </c>
      <c r="L18" s="10" t="n">
        <v>92</v>
      </c>
      <c r="M18" s="10" t="n">
        <v>82</v>
      </c>
      <c r="N18" s="9" t="n">
        <f aca="false">SUM(B18:M18)</f>
        <v>1154</v>
      </c>
    </row>
    <row r="19" customFormat="false" ht="15" hidden="false" customHeight="true" outlineLevel="0" collapsed="false">
      <c r="A19" s="14" t="s">
        <v>30</v>
      </c>
      <c r="B19" s="8" t="n">
        <v>96</v>
      </c>
      <c r="C19" s="8" t="n">
        <v>99</v>
      </c>
      <c r="D19" s="8" t="n">
        <v>92</v>
      </c>
      <c r="E19" s="8" t="n">
        <v>101</v>
      </c>
      <c r="F19" s="8" t="n">
        <v>100</v>
      </c>
      <c r="G19" s="8" t="n">
        <v>98</v>
      </c>
      <c r="H19" s="8" t="n">
        <v>72</v>
      </c>
      <c r="I19" s="8" t="n">
        <v>109</v>
      </c>
      <c r="J19" s="8" t="n">
        <v>110</v>
      </c>
      <c r="K19" s="8" t="n">
        <v>64</v>
      </c>
      <c r="L19" s="8" t="n">
        <v>76</v>
      </c>
      <c r="M19" s="8" t="n">
        <v>69</v>
      </c>
      <c r="N19" s="9" t="n">
        <f aca="false">SUM(B19:M19)</f>
        <v>1086</v>
      </c>
    </row>
    <row r="20" customFormat="false" ht="15" hidden="false" customHeight="true" outlineLevel="0" collapsed="false">
      <c r="A20" s="14" t="s">
        <v>31</v>
      </c>
      <c r="B20" s="10" t="n">
        <v>62</v>
      </c>
      <c r="C20" s="10" t="n">
        <v>80</v>
      </c>
      <c r="D20" s="10" t="n">
        <v>63</v>
      </c>
      <c r="E20" s="10" t="n">
        <v>79</v>
      </c>
      <c r="F20" s="10" t="n">
        <v>36</v>
      </c>
      <c r="G20" s="10" t="n">
        <v>43</v>
      </c>
      <c r="H20" s="10" t="n">
        <v>70</v>
      </c>
      <c r="I20" s="10" t="n">
        <v>66</v>
      </c>
      <c r="J20" s="10" t="n">
        <v>49</v>
      </c>
      <c r="K20" s="10" t="n">
        <v>32</v>
      </c>
      <c r="L20" s="10" t="n">
        <v>71</v>
      </c>
      <c r="M20" s="10" t="n">
        <v>30</v>
      </c>
      <c r="N20" s="9" t="n">
        <f aca="false">SUM(B20:M20)</f>
        <v>681</v>
      </c>
    </row>
    <row r="21" customFormat="false" ht="15" hidden="false" customHeight="true" outlineLevel="0" collapsed="false">
      <c r="A21" s="14" t="s">
        <v>32</v>
      </c>
      <c r="B21" s="8" t="n">
        <v>125</v>
      </c>
      <c r="C21" s="8" t="n">
        <v>113</v>
      </c>
      <c r="D21" s="8" t="n">
        <v>102</v>
      </c>
      <c r="E21" s="8" t="n">
        <v>101</v>
      </c>
      <c r="F21" s="8" t="n">
        <v>103</v>
      </c>
      <c r="G21" s="8" t="n">
        <v>87</v>
      </c>
      <c r="H21" s="8" t="n">
        <v>84</v>
      </c>
      <c r="I21" s="8" t="n">
        <v>83</v>
      </c>
      <c r="J21" s="8" t="n">
        <v>127</v>
      </c>
      <c r="K21" s="8" t="n">
        <v>126</v>
      </c>
      <c r="L21" s="8" t="n">
        <v>85</v>
      </c>
      <c r="M21" s="8" t="n">
        <v>81</v>
      </c>
      <c r="N21" s="9" t="n">
        <f aca="false">SUM(B21:M21)</f>
        <v>1217</v>
      </c>
    </row>
    <row r="22" customFormat="false" ht="15" hidden="false" customHeight="true" outlineLevel="0" collapsed="false">
      <c r="A22" s="14" t="s">
        <v>33</v>
      </c>
      <c r="B22" s="10" t="n">
        <v>79</v>
      </c>
      <c r="C22" s="10" t="n">
        <v>67</v>
      </c>
      <c r="D22" s="10" t="n">
        <v>93</v>
      </c>
      <c r="E22" s="10" t="n">
        <v>62</v>
      </c>
      <c r="F22" s="10" t="n">
        <v>90</v>
      </c>
      <c r="G22" s="10" t="n">
        <v>58</v>
      </c>
      <c r="H22" s="10" t="n">
        <v>56</v>
      </c>
      <c r="I22" s="10" t="n">
        <v>74</v>
      </c>
      <c r="J22" s="10" t="n">
        <v>63</v>
      </c>
      <c r="K22" s="10" t="n">
        <v>72</v>
      </c>
      <c r="L22" s="10" t="n">
        <v>98</v>
      </c>
      <c r="M22" s="10" t="n">
        <v>90</v>
      </c>
      <c r="N22" s="9" t="n">
        <f aca="false">SUM(B22:M22)</f>
        <v>902</v>
      </c>
    </row>
    <row r="23" customFormat="false" ht="15" hidden="false" customHeight="true" outlineLevel="0" collapsed="false">
      <c r="A23" s="15" t="s">
        <v>34</v>
      </c>
      <c r="B23" s="16" t="n">
        <f aca="false">SUM(B11:B22)</f>
        <v>3482</v>
      </c>
      <c r="C23" s="16" t="n">
        <f aca="false">SUM(C11:C22)</f>
        <v>3539</v>
      </c>
      <c r="D23" s="16" t="n">
        <f aca="false">SUM(D11:D22)</f>
        <v>3420</v>
      </c>
      <c r="E23" s="16" t="n">
        <f aca="false">SUM(E11:E22)</f>
        <v>3421</v>
      </c>
      <c r="F23" s="16" t="n">
        <f aca="false">SUM(F11:F22)</f>
        <v>3413</v>
      </c>
      <c r="G23" s="16" t="n">
        <f aca="false">SUM(G11:G22)</f>
        <v>3360</v>
      </c>
      <c r="H23" s="16" t="n">
        <f aca="false">SUM(H11:H22)</f>
        <v>3287</v>
      </c>
      <c r="I23" s="16" t="n">
        <f aca="false">SUM(I11:I22)</f>
        <v>3514</v>
      </c>
      <c r="J23" s="16" t="n">
        <f aca="false">SUM(J11:J22)</f>
        <v>3502</v>
      </c>
      <c r="K23" s="16" t="n">
        <f aca="false">SUM(K11:K22)</f>
        <v>3369</v>
      </c>
      <c r="L23" s="16" t="n">
        <f aca="false">SUM(L11:L22)</f>
        <v>3355</v>
      </c>
      <c r="M23" s="16" t="n">
        <f aca="false">SUM(M11:M22)</f>
        <v>3349</v>
      </c>
      <c r="N23" s="16" t="n">
        <f aca="false">SUM(N11:N22)</f>
        <v>41011</v>
      </c>
    </row>
    <row r="24" customFormat="false" ht="21.75" hidden="false" customHeight="true" outlineLevel="0" collapsed="false">
      <c r="A24" s="17" t="s">
        <v>35</v>
      </c>
      <c r="B24" s="18" t="n">
        <f aca="false">B9-B23</f>
        <v>2305</v>
      </c>
      <c r="C24" s="18" t="n">
        <f aca="false">C9-C23</f>
        <v>2230</v>
      </c>
      <c r="D24" s="18" t="n">
        <f aca="false">D9-D23</f>
        <v>2602</v>
      </c>
      <c r="E24" s="18" t="n">
        <f aca="false">E9-E23</f>
        <v>2619</v>
      </c>
      <c r="F24" s="18" t="n">
        <f aca="false">F9-F23</f>
        <v>2377</v>
      </c>
      <c r="G24" s="18" t="n">
        <f aca="false">G9-G23</f>
        <v>2597</v>
      </c>
      <c r="H24" s="18" t="n">
        <f aca="false">H9-H23</f>
        <v>2679</v>
      </c>
      <c r="I24" s="18" t="n">
        <f aca="false">I9-I23</f>
        <v>2389</v>
      </c>
      <c r="J24" s="18" t="n">
        <f aca="false">J9-J23</f>
        <v>2518</v>
      </c>
      <c r="K24" s="18" t="n">
        <f aca="false">K9-K23</f>
        <v>2606</v>
      </c>
      <c r="L24" s="18" t="n">
        <f aca="false">L9-L23</f>
        <v>2452</v>
      </c>
      <c r="M24" s="18" t="n">
        <f aca="false">M9-M23</f>
        <v>2502</v>
      </c>
      <c r="N24" s="18" t="n">
        <f aca="false">N9-N23</f>
        <v>29876</v>
      </c>
    </row>
  </sheetData>
  <mergeCells count="4">
    <mergeCell ref="A1:N1"/>
    <mergeCell ref="A2:N2"/>
    <mergeCell ref="A4:N4"/>
    <mergeCell ref="A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6"/>
  </cols>
  <sheetData>
    <row r="1" customFormat="false" ht="34.5" hidden="false" customHeight="true" outlineLevel="0" collapsed="false">
      <c r="A1" s="19" t="s">
        <v>36</v>
      </c>
      <c r="B1" s="19"/>
      <c r="C1" s="19"/>
      <c r="D1" s="19"/>
      <c r="E1" s="19"/>
      <c r="F1" s="19"/>
      <c r="G1" s="19"/>
    </row>
    <row r="2" customFormat="false" ht="15" hidden="false" customHeight="true" outlineLevel="0" collapsed="false">
      <c r="A2" s="20" t="s">
        <v>37</v>
      </c>
      <c r="B2" s="20" t="s">
        <v>38</v>
      </c>
      <c r="C2" s="20" t="s">
        <v>39</v>
      </c>
      <c r="D2" s="20" t="s">
        <v>40</v>
      </c>
      <c r="E2" s="20" t="s">
        <v>41</v>
      </c>
      <c r="F2" s="20" t="s">
        <v>14</v>
      </c>
      <c r="G2" s="20" t="s">
        <v>42</v>
      </c>
    </row>
    <row r="3" customFormat="false" ht="15" hidden="false" customHeight="true" outlineLevel="0" collapsed="false">
      <c r="A3" s="21" t="s">
        <v>43</v>
      </c>
      <c r="B3" s="8" t="n">
        <v>10745</v>
      </c>
      <c r="C3" s="8" t="n">
        <v>10170</v>
      </c>
      <c r="D3" s="8" t="n">
        <v>17844</v>
      </c>
      <c r="E3" s="8" t="n">
        <v>16341</v>
      </c>
      <c r="F3" s="9" t="n">
        <f aca="false">SUM(B3:E3)</f>
        <v>55100</v>
      </c>
      <c r="G3" s="22" t="n">
        <f aca="false">F3-45000</f>
        <v>10100</v>
      </c>
    </row>
    <row r="4" customFormat="false" ht="15" hidden="false" customHeight="true" outlineLevel="0" collapsed="false">
      <c r="A4" s="23" t="s">
        <v>44</v>
      </c>
      <c r="B4" s="10" t="n">
        <v>13903</v>
      </c>
      <c r="C4" s="10" t="n">
        <v>8572</v>
      </c>
      <c r="D4" s="10" t="n">
        <v>9285</v>
      </c>
      <c r="E4" s="10" t="n">
        <v>8154</v>
      </c>
      <c r="F4" s="9" t="n">
        <f aca="false">SUM(B4:E4)</f>
        <v>39914</v>
      </c>
      <c r="G4" s="24" t="n">
        <f aca="false">F4-38000</f>
        <v>1914</v>
      </c>
    </row>
    <row r="5" customFormat="false" ht="15" hidden="false" customHeight="true" outlineLevel="0" collapsed="false">
      <c r="A5" s="21" t="s">
        <v>45</v>
      </c>
      <c r="B5" s="8" t="n">
        <v>9269</v>
      </c>
      <c r="C5" s="8" t="n">
        <v>16708</v>
      </c>
      <c r="D5" s="8" t="n">
        <v>14131</v>
      </c>
      <c r="E5" s="8" t="n">
        <v>15814</v>
      </c>
      <c r="F5" s="9" t="n">
        <f aca="false">SUM(B5:E5)</f>
        <v>55922</v>
      </c>
      <c r="G5" s="22" t="n">
        <f aca="false">F5-52000</f>
        <v>3922</v>
      </c>
    </row>
    <row r="6" customFormat="false" ht="15" hidden="false" customHeight="true" outlineLevel="0" collapsed="false">
      <c r="A6" s="23" t="s">
        <v>46</v>
      </c>
      <c r="B6" s="10" t="n">
        <v>16676</v>
      </c>
      <c r="C6" s="10" t="n">
        <v>17443</v>
      </c>
      <c r="D6" s="10" t="n">
        <v>16027</v>
      </c>
      <c r="E6" s="10" t="n">
        <v>9942</v>
      </c>
      <c r="F6" s="9" t="n">
        <f aca="false">SUM(B6:E6)</f>
        <v>60088</v>
      </c>
      <c r="G6" s="24" t="n">
        <f aca="false">F6-61000</f>
        <v>-912</v>
      </c>
    </row>
    <row r="7" customFormat="false" ht="15" hidden="false" customHeight="true" outlineLevel="0" collapsed="false">
      <c r="A7" s="21" t="s">
        <v>47</v>
      </c>
      <c r="B7" s="8" t="n">
        <v>15780</v>
      </c>
      <c r="C7" s="8" t="n">
        <v>17623</v>
      </c>
      <c r="D7" s="8" t="n">
        <v>17720</v>
      </c>
      <c r="E7" s="8" t="n">
        <v>13080</v>
      </c>
      <c r="F7" s="9" t="n">
        <f aca="false">SUM(B7:E7)</f>
        <v>64203</v>
      </c>
      <c r="G7" s="22" t="n">
        <f aca="false">F7-29000</f>
        <v>35203</v>
      </c>
    </row>
    <row r="8" customFormat="false" ht="15" hidden="false" customHeight="true" outlineLevel="0" collapsed="false">
      <c r="A8" s="23" t="s">
        <v>48</v>
      </c>
      <c r="B8" s="10" t="n">
        <v>13218</v>
      </c>
      <c r="C8" s="10" t="n">
        <v>14572</v>
      </c>
      <c r="D8" s="10" t="n">
        <v>12287</v>
      </c>
      <c r="E8" s="10" t="n">
        <v>17232</v>
      </c>
      <c r="F8" s="9" t="n">
        <f aca="false">SUM(B8:E8)</f>
        <v>57309</v>
      </c>
      <c r="G8" s="24" t="n">
        <f aca="false">F8-33000</f>
        <v>24309</v>
      </c>
    </row>
    <row r="9" customFormat="false" ht="15" hidden="false" customHeight="true" outlineLevel="0" collapsed="false">
      <c r="A9" s="25" t="s">
        <v>49</v>
      </c>
      <c r="B9" s="26" t="n">
        <f aca="false">SUM(B3:B8)</f>
        <v>79591</v>
      </c>
      <c r="C9" s="26" t="n">
        <f aca="false">SUM(C3:C8)</f>
        <v>85088</v>
      </c>
      <c r="D9" s="26" t="n">
        <f aca="false">SUM(D3:D8)</f>
        <v>87294</v>
      </c>
      <c r="E9" s="26" t="n">
        <f aca="false">SUM(E3:E8)</f>
        <v>80563</v>
      </c>
      <c r="F9" s="26" t="n">
        <f aca="false">SUM(F3:F8)</f>
        <v>332536</v>
      </c>
      <c r="G9" s="26" t="n">
        <f aca="false">SUM(G3:G8)</f>
        <v>74536</v>
      </c>
    </row>
    <row r="11" customFormat="false" ht="15" hidden="false" customHeight="true" outlineLevel="0" collapsed="false">
      <c r="A11" s="27" t="s">
        <v>50</v>
      </c>
      <c r="B11" s="27"/>
      <c r="C11" s="27"/>
      <c r="D11" s="27"/>
      <c r="E11" s="27"/>
      <c r="F11" s="27"/>
      <c r="G11" s="27"/>
    </row>
    <row r="12" customFormat="false" ht="15" hidden="false" customHeight="true" outlineLevel="0" collapsed="false">
      <c r="A12" s="28" t="s">
        <v>51</v>
      </c>
      <c r="C12" s="28" t="s">
        <v>52</v>
      </c>
      <c r="E12" s="28" t="s">
        <v>53</v>
      </c>
      <c r="G12" s="28" t="s">
        <v>54</v>
      </c>
    </row>
    <row r="13" customFormat="false" ht="24.75" hidden="false" customHeight="true" outlineLevel="0" collapsed="false">
      <c r="A13" s="29" t="str">
        <f aca="false">CHOOSE(MATCH(MAX(B9:E9),B9:E9,0),"Q1","Q2","Q3","Q4")</f>
        <v>Q3</v>
      </c>
      <c r="C13" s="30" t="n">
        <f aca="false">F9</f>
        <v>332536</v>
      </c>
      <c r="E13" s="30" t="n">
        <f aca="false">F9/6</f>
        <v>55422.6666666667</v>
      </c>
      <c r="G13" s="31" t="n">
        <f aca="false">12.5%</f>
        <v>0.125</v>
      </c>
    </row>
  </sheetData>
  <mergeCells count="2">
    <mergeCell ref="A1:G1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30" hidden="false" customHeight="true" outlineLevel="0" collapsed="false">
      <c r="A1" s="32" t="s">
        <v>55</v>
      </c>
      <c r="B1" s="32"/>
      <c r="C1" s="32"/>
      <c r="D1" s="32"/>
      <c r="E1" s="32"/>
    </row>
    <row r="2" customFormat="false" ht="15" hidden="false" customHeight="true" outlineLevel="0" collapsed="false">
      <c r="A2" s="33" t="s">
        <v>56</v>
      </c>
      <c r="B2" s="33" t="s">
        <v>57</v>
      </c>
      <c r="C2" s="33" t="s">
        <v>58</v>
      </c>
      <c r="D2" s="33" t="s">
        <v>59</v>
      </c>
      <c r="E2" s="33" t="s">
        <v>60</v>
      </c>
    </row>
    <row r="3" customFormat="false" ht="18" hidden="false" customHeight="true" outlineLevel="0" collapsed="false">
      <c r="A3" s="34" t="n">
        <v>1</v>
      </c>
      <c r="B3" s="35" t="s">
        <v>61</v>
      </c>
      <c r="C3" s="34" t="s">
        <v>62</v>
      </c>
      <c r="D3" s="34" t="s">
        <v>63</v>
      </c>
      <c r="E3" s="34" t="s">
        <v>64</v>
      </c>
    </row>
    <row r="4" customFormat="false" ht="18" hidden="false" customHeight="true" outlineLevel="0" collapsed="false">
      <c r="A4" s="36" t="n">
        <v>2</v>
      </c>
      <c r="B4" s="37" t="s">
        <v>65</v>
      </c>
      <c r="C4" s="36" t="s">
        <v>66</v>
      </c>
      <c r="D4" s="36" t="s">
        <v>67</v>
      </c>
      <c r="E4" s="36" t="s">
        <v>68</v>
      </c>
    </row>
    <row r="5" customFormat="false" ht="18" hidden="false" customHeight="true" outlineLevel="0" collapsed="false">
      <c r="A5" s="38" t="n">
        <v>3</v>
      </c>
      <c r="B5" s="39" t="s">
        <v>69</v>
      </c>
      <c r="C5" s="38" t="s">
        <v>70</v>
      </c>
      <c r="D5" s="38" t="s">
        <v>71</v>
      </c>
      <c r="E5" s="38" t="s">
        <v>72</v>
      </c>
    </row>
    <row r="6" customFormat="false" ht="18" hidden="false" customHeight="true" outlineLevel="0" collapsed="false">
      <c r="A6" s="34" t="n">
        <v>4</v>
      </c>
      <c r="B6" s="35" t="s">
        <v>73</v>
      </c>
      <c r="C6" s="34" t="s">
        <v>62</v>
      </c>
      <c r="D6" s="34" t="s">
        <v>74</v>
      </c>
      <c r="E6" s="34" t="s">
        <v>64</v>
      </c>
    </row>
    <row r="7" customFormat="false" ht="18" hidden="false" customHeight="true" outlineLevel="0" collapsed="false">
      <c r="A7" s="38" t="n">
        <v>5</v>
      </c>
      <c r="B7" s="39" t="s">
        <v>75</v>
      </c>
      <c r="C7" s="38" t="s">
        <v>66</v>
      </c>
      <c r="D7" s="38" t="s">
        <v>76</v>
      </c>
      <c r="E7" s="38" t="s">
        <v>72</v>
      </c>
    </row>
    <row r="8" customFormat="false" ht="18" hidden="false" customHeight="true" outlineLevel="0" collapsed="false">
      <c r="A8" s="38" t="n">
        <v>6</v>
      </c>
      <c r="B8" s="39" t="s">
        <v>77</v>
      </c>
      <c r="C8" s="38" t="s">
        <v>70</v>
      </c>
      <c r="D8" s="38" t="s">
        <v>78</v>
      </c>
      <c r="E8" s="38" t="s">
        <v>72</v>
      </c>
    </row>
    <row r="9" customFormat="false" ht="18" hidden="false" customHeight="true" outlineLevel="0" collapsed="false">
      <c r="A9" s="36" t="n">
        <v>7</v>
      </c>
      <c r="B9" s="37" t="s">
        <v>79</v>
      </c>
      <c r="C9" s="36" t="s">
        <v>80</v>
      </c>
      <c r="D9" s="36" t="s">
        <v>81</v>
      </c>
      <c r="E9" s="36" t="s">
        <v>68</v>
      </c>
    </row>
    <row r="10" customFormat="false" ht="18" hidden="false" customHeight="true" outlineLevel="0" collapsed="false">
      <c r="A10" s="40" t="n">
        <v>8</v>
      </c>
      <c r="B10" s="41" t="s">
        <v>82</v>
      </c>
      <c r="C10" s="40" t="s">
        <v>62</v>
      </c>
      <c r="D10" s="40" t="s">
        <v>83</v>
      </c>
      <c r="E10" s="40" t="s">
        <v>84</v>
      </c>
    </row>
    <row r="11" customFormat="false" ht="18" hidden="false" customHeight="true" outlineLevel="0" collapsed="false">
      <c r="A11" s="40" t="n">
        <v>9</v>
      </c>
      <c r="B11" s="41" t="s">
        <v>85</v>
      </c>
      <c r="C11" s="40" t="s">
        <v>66</v>
      </c>
      <c r="D11" s="40" t="s">
        <v>86</v>
      </c>
      <c r="E11" s="40" t="s">
        <v>84</v>
      </c>
    </row>
    <row r="12" customFormat="false" ht="18" hidden="false" customHeight="true" outlineLevel="0" collapsed="false">
      <c r="A12" s="34" t="n">
        <v>10</v>
      </c>
      <c r="B12" s="35" t="s">
        <v>87</v>
      </c>
      <c r="C12" s="34" t="s">
        <v>70</v>
      </c>
      <c r="D12" s="34" t="s">
        <v>88</v>
      </c>
      <c r="E12" s="34" t="s">
        <v>64</v>
      </c>
    </row>
    <row r="14" customFormat="false" ht="15" hidden="false" customHeight="true" outlineLevel="0" collapsed="false">
      <c r="A14" s="42" t="s">
        <v>89</v>
      </c>
      <c r="B14" s="42"/>
      <c r="C14" s="42"/>
      <c r="D14" s="42"/>
      <c r="E14" s="42"/>
    </row>
    <row r="15" customFormat="false" ht="15" hidden="false" customHeight="true" outlineLevel="0" collapsed="false">
      <c r="A15" s="43" t="s">
        <v>90</v>
      </c>
      <c r="B15" s="43" t="s">
        <v>91</v>
      </c>
      <c r="C15" s="43" t="s">
        <v>92</v>
      </c>
      <c r="D15" s="43" t="s">
        <v>93</v>
      </c>
    </row>
    <row r="16" customFormat="false" ht="24.75" hidden="false" customHeight="true" outlineLevel="0" collapsed="false">
      <c r="A16" s="44" t="n">
        <f aca="false">COUNTA(B3:B12)</f>
        <v>10</v>
      </c>
      <c r="B16" s="44" t="n">
        <f aca="false">COUNTIF(E3:E12,"✅ Done")</f>
        <v>2</v>
      </c>
      <c r="C16" s="44" t="n">
        <f aca="false">COUNTIF(E3:E12,"🟡 In Progress")</f>
        <v>3</v>
      </c>
      <c r="D16" s="44" t="n">
        <f aca="false">COUNTIF(E3:E12,"🔴 Overdue")</f>
        <v>2</v>
      </c>
    </row>
  </sheetData>
  <mergeCells count="2">
    <mergeCell ref="A1:E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30" hidden="false" customHeight="true" outlineLevel="0" collapsed="false">
      <c r="A1" s="45" t="s">
        <v>94</v>
      </c>
      <c r="B1" s="45"/>
      <c r="C1" s="45"/>
      <c r="D1" s="45"/>
      <c r="E1" s="45"/>
      <c r="F1" s="45"/>
    </row>
    <row r="3" customFormat="false" ht="15" hidden="false" customHeight="true" outlineLevel="0" collapsed="false">
      <c r="A3" s="46" t="s">
        <v>95</v>
      </c>
      <c r="B3" s="46" t="s">
        <v>96</v>
      </c>
      <c r="C3" s="46" t="s">
        <v>97</v>
      </c>
      <c r="D3" s="46" t="s">
        <v>98</v>
      </c>
      <c r="E3" s="46" t="s">
        <v>99</v>
      </c>
      <c r="F3" s="46" t="s">
        <v>100</v>
      </c>
    </row>
    <row r="4" customFormat="false" ht="15" hidden="false" customHeight="true" outlineLevel="0" collapsed="false">
      <c r="A4" s="47" t="s">
        <v>101</v>
      </c>
      <c r="B4" s="47" t="s">
        <v>102</v>
      </c>
      <c r="C4" s="8" t="n">
        <v>184500</v>
      </c>
      <c r="D4" s="48" t="n">
        <v>42</v>
      </c>
      <c r="E4" s="8" t="n">
        <f aca="false">C4/D4</f>
        <v>4392.85714285714</v>
      </c>
      <c r="F4" s="49" t="n">
        <f aca="false">C4/SUM($C$4:$C$11)</f>
        <v>0.118356480739006</v>
      </c>
    </row>
    <row r="5" customFormat="false" ht="15" hidden="false" customHeight="true" outlineLevel="0" collapsed="false">
      <c r="A5" s="50" t="s">
        <v>101</v>
      </c>
      <c r="B5" s="50" t="s">
        <v>103</v>
      </c>
      <c r="C5" s="10" t="n">
        <v>142300</v>
      </c>
      <c r="D5" s="51" t="n">
        <v>35</v>
      </c>
      <c r="E5" s="10" t="n">
        <f aca="false">C5/D5</f>
        <v>4065.71428571429</v>
      </c>
      <c r="F5" s="52" t="n">
        <f aca="false">C5/SUM($C$4:$C$11)</f>
        <v>0.0912852423260737</v>
      </c>
    </row>
    <row r="6" customFormat="false" ht="15" hidden="false" customHeight="true" outlineLevel="0" collapsed="false">
      <c r="A6" s="47" t="s">
        <v>104</v>
      </c>
      <c r="B6" s="47" t="s">
        <v>105</v>
      </c>
      <c r="C6" s="8" t="n">
        <v>221000</v>
      </c>
      <c r="D6" s="48" t="n">
        <v>58</v>
      </c>
      <c r="E6" s="8" t="n">
        <f aca="false">C6/D6</f>
        <v>3810.34482758621</v>
      </c>
      <c r="F6" s="49" t="n">
        <f aca="false">C6/SUM($C$4:$C$11)</f>
        <v>0.141771177470571</v>
      </c>
    </row>
    <row r="7" customFormat="false" ht="15" hidden="false" customHeight="true" outlineLevel="0" collapsed="false">
      <c r="A7" s="50" t="s">
        <v>104</v>
      </c>
      <c r="B7" s="50" t="s">
        <v>106</v>
      </c>
      <c r="C7" s="10" t="n">
        <v>98750</v>
      </c>
      <c r="D7" s="51" t="n">
        <v>24</v>
      </c>
      <c r="E7" s="10" t="n">
        <f aca="false">C7/D7</f>
        <v>4114.58333333333</v>
      </c>
      <c r="F7" s="52" t="n">
        <f aca="false">C7/SUM($C$4:$C$11)</f>
        <v>0.0633479808833435</v>
      </c>
    </row>
    <row r="8" customFormat="false" ht="15" hidden="false" customHeight="true" outlineLevel="0" collapsed="false">
      <c r="A8" s="47" t="s">
        <v>107</v>
      </c>
      <c r="B8" s="47" t="s">
        <v>108</v>
      </c>
      <c r="C8" s="8" t="n">
        <v>310400</v>
      </c>
      <c r="D8" s="48" t="n">
        <v>71</v>
      </c>
      <c r="E8" s="8" t="n">
        <f aca="false">C8/D8</f>
        <v>4371.83098591549</v>
      </c>
      <c r="F8" s="49" t="n">
        <f aca="false">C8/SUM($C$4:$C$11)</f>
        <v>0.199121146999391</v>
      </c>
    </row>
    <row r="9" customFormat="false" ht="15" hidden="false" customHeight="true" outlineLevel="0" collapsed="false">
      <c r="A9" s="50" t="s">
        <v>107</v>
      </c>
      <c r="B9" s="50" t="s">
        <v>109</v>
      </c>
      <c r="C9" s="10" t="n">
        <v>178900</v>
      </c>
      <c r="D9" s="51" t="n">
        <v>44</v>
      </c>
      <c r="E9" s="10" t="n">
        <f aca="false">C9/D9</f>
        <v>4065.90909090909</v>
      </c>
      <c r="F9" s="52" t="n">
        <f aca="false">C9/SUM($C$4:$C$11)</f>
        <v>0.114764088911698</v>
      </c>
    </row>
    <row r="10" customFormat="false" ht="15" hidden="false" customHeight="true" outlineLevel="0" collapsed="false">
      <c r="A10" s="47" t="s">
        <v>110</v>
      </c>
      <c r="B10" s="47" t="s">
        <v>111</v>
      </c>
      <c r="C10" s="8" t="n">
        <v>267800</v>
      </c>
      <c r="D10" s="48" t="n">
        <v>63</v>
      </c>
      <c r="E10" s="8" t="n">
        <f aca="false">C10/D10</f>
        <v>4250.79365079365</v>
      </c>
      <c r="F10" s="49" t="n">
        <f aca="false">C10/SUM($C$4:$C$11)</f>
        <v>0.171793309170222</v>
      </c>
    </row>
    <row r="11" customFormat="false" ht="15" hidden="false" customHeight="true" outlineLevel="0" collapsed="false">
      <c r="A11" s="50" t="s">
        <v>110</v>
      </c>
      <c r="B11" s="50" t="s">
        <v>112</v>
      </c>
      <c r="C11" s="10" t="n">
        <v>155200</v>
      </c>
      <c r="D11" s="51" t="n">
        <v>38</v>
      </c>
      <c r="E11" s="10" t="n">
        <f aca="false">C11/D11</f>
        <v>4084.21052631579</v>
      </c>
      <c r="F11" s="52" t="n">
        <f aca="false">C11/SUM($C$4:$C$11)</f>
        <v>0.0995605734996953</v>
      </c>
    </row>
    <row r="12" customFormat="false" ht="15" hidden="false" customHeight="true" outlineLevel="0" collapsed="false">
      <c r="A12" s="53" t="s">
        <v>14</v>
      </c>
      <c r="B12" s="53"/>
      <c r="C12" s="54" t="n">
        <f aca="false">SUM(C4:C11)</f>
        <v>1558850</v>
      </c>
      <c r="D12" s="54" t="n">
        <f aca="false">SUM(D4:D11)</f>
        <v>375</v>
      </c>
      <c r="E12" s="54" t="n">
        <f aca="false">C12/D12</f>
        <v>4156.93333333333</v>
      </c>
      <c r="F12" s="55" t="n">
        <f aca="false">SUM(F4:F11)</f>
        <v>1</v>
      </c>
    </row>
  </sheetData>
  <mergeCells count="2">
    <mergeCell ref="A1:F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60"/>
  </cols>
  <sheetData>
    <row r="1" customFormat="false" ht="30" hidden="false" customHeight="true" outlineLevel="0" collapsed="false">
      <c r="A1" s="56" t="s">
        <v>113</v>
      </c>
      <c r="B1" s="56"/>
      <c r="C1" s="56"/>
    </row>
    <row r="3" customFormat="false" ht="15" hidden="false" customHeight="true" outlineLevel="0" collapsed="false">
      <c r="A3" s="21" t="s">
        <v>114</v>
      </c>
      <c r="B3" s="57" t="s">
        <v>115</v>
      </c>
    </row>
    <row r="4" customFormat="false" ht="15" hidden="false" customHeight="true" outlineLevel="0" collapsed="false">
      <c r="A4" s="23" t="s">
        <v>116</v>
      </c>
      <c r="B4" s="58" t="s">
        <v>117</v>
      </c>
    </row>
    <row r="5" customFormat="false" ht="15" hidden="false" customHeight="true" outlineLevel="0" collapsed="false">
      <c r="A5" s="21" t="s">
        <v>118</v>
      </c>
      <c r="B5" s="57" t="s">
        <v>119</v>
      </c>
    </row>
    <row r="6" customFormat="false" ht="15" hidden="false" customHeight="true" outlineLevel="0" collapsed="false">
      <c r="A6" s="23" t="s">
        <v>120</v>
      </c>
      <c r="B6" s="58" t="s">
        <v>121</v>
      </c>
    </row>
    <row r="7" customFormat="false" ht="15" hidden="false" customHeight="true" outlineLevel="0" collapsed="false">
      <c r="A7" s="21"/>
      <c r="B7" s="57"/>
    </row>
    <row r="8" customFormat="false" ht="15" hidden="false" customHeight="true" outlineLevel="0" collapsed="false">
      <c r="A8" s="23" t="s">
        <v>122</v>
      </c>
      <c r="B8" s="58" t="s">
        <v>123</v>
      </c>
    </row>
    <row r="9" customFormat="false" ht="15" hidden="false" customHeight="true" outlineLevel="0" collapsed="false">
      <c r="A9" s="21" t="s">
        <v>124</v>
      </c>
      <c r="B9" s="57" t="s">
        <v>125</v>
      </c>
    </row>
    <row r="10" customFormat="false" ht="15" hidden="false" customHeight="true" outlineLevel="0" collapsed="false">
      <c r="A10" s="23" t="s">
        <v>126</v>
      </c>
      <c r="B10" s="58" t="s">
        <v>127</v>
      </c>
    </row>
    <row r="11" customFormat="false" ht="15" hidden="false" customHeight="true" outlineLevel="0" collapsed="false">
      <c r="A11" s="21" t="s">
        <v>128</v>
      </c>
      <c r="B11" s="57" t="s">
        <v>129</v>
      </c>
    </row>
    <row r="12" customFormat="false" ht="15" hidden="false" customHeight="true" outlineLevel="0" collapsed="false">
      <c r="A12" s="23" t="s">
        <v>130</v>
      </c>
      <c r="B12" s="58" t="s">
        <v>127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2026-05-30T22:02:54Z</dcterms:created>
  <dc:creator>openpyxl</dc:creator>
  <dc:description/>
  <dc:language>en-US</dc:language>
  <cp:lastModifiedBy/>
  <dcterms:modified xsi:type="dcterms:W3CDTF">2026-05-30T22:03:12Z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